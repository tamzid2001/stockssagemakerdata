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PL-1" sheetId="1" r:id="rId5"/>
    <sheet state="visible" name="SPY-1" sheetId="2" r:id="rId6"/>
    <sheet state="visible" name="SPY-2" sheetId="3" r:id="rId7"/>
    <sheet state="visible" name="PLTR-1" sheetId="4" r:id="rId8"/>
    <sheet state="visible" name="GOOGL-1" sheetId="5" r:id="rId9"/>
    <sheet state="visible" name="MSFT-1" sheetId="6" r:id="rId10"/>
    <sheet state="visible" name="Holidays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tc={144bacc4-d29d-4e28-a146-cb1af56d1325}</author>
    <author>tc={49e5a53f-f976-4522-8db0-b92e9b698c43}</author>
    <author>tc={4bd67f31-cd9e-4ab0-8c54-157df941c8fb}</author>
    <author>tc={778dd098-4950-494d-9ebb-a89b70807ad4}</author>
    <author>tc={9dfb1ed9-fcbf-45b6-a645-4293f6c6dd24}</author>
  </authors>
  <commentList>
    <comment authorId="0" xr:uid="{144bacc4-d29d-4e28-a146-cb1af56d13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v3 TEST: Drive API is now working!
Last Row Data: Thu Oct 01 2026 00:00:00 GMT-0400 (Eastern Daylight Time) | 164.528 | 230.797 | 284.114 | 320.564 | 391.637
</t>
      </text>
    </comment>
    <comment authorId="1" xr:uid="{49e5a53f-f976-4522-8db0-b92e9b698c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v3 TEST: Drive API is now working!
Last Row Data: Thu Oct 01 2026 00:00:00 GMT-0400 (Eastern Daylight Time) | 164.528 | 230.797 | 284.114 | 320.564 | 391.637
</t>
      </text>
    </comment>
    <comment authorId="2" xr:uid="{4bd67f31-cd9e-4ab0-8c54-157df941c8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v3 TEST: Drive API is now working!
Last Row Data: Thu Oct 01 2026 00:00:00 GMT-0400 (Eastern Daylight Time) | 164.528 | 230.797 | 284.114 | 320.564 | 391.637
</t>
      </text>
    </comment>
    <comment authorId="3" xr:uid="{778dd098-4950-494d-9ebb-a89b70807a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v3 TEST: Drive API is now working!
Last Row Data: Thu Oct 01 2026 00:00:00 GMT-0400 (Eastern Daylight Time) | 164.528 | 230.797 | 284.114 | 320.564 | 391.637
</t>
      </text>
    </comment>
    <comment authorId="4" xr:uid="{9dfb1ed9-fcbf-45b6-a645-4293f6c6dd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v3 TEST: Drive API is now working!
Last Row Data: Thu Oct 01 2026 00:00:00 GMT-0400 (Eastern Daylight Time) | 164.528 | 230.797 | 284.114 | 320.564 | 391.637
</t>
      </text>
    </comment>
  </commentList>
</comments>
</file>

<file path=xl/sharedStrings.xml><?xml version="1.0" encoding="utf-8"?>
<sst xmlns="http://schemas.openxmlformats.org/spreadsheetml/2006/main" count="64" uniqueCount="27">
  <si>
    <t>date</t>
  </si>
  <si>
    <t>P10</t>
  </si>
  <si>
    <t>P50</t>
  </si>
  <si>
    <t>P90</t>
  </si>
  <si>
    <t>P1</t>
  </si>
  <si>
    <t>P99</t>
  </si>
  <si>
    <t>P25</t>
  </si>
  <si>
    <t>P75</t>
  </si>
  <si>
    <t>Close Price</t>
  </si>
  <si>
    <t>&gt; P50</t>
  </si>
  <si>
    <t>&gt; P10</t>
  </si>
  <si>
    <t>&gt; P90</t>
  </si>
  <si>
    <t>Number of time Close &gt;= P50</t>
  </si>
  <si>
    <t>&lt; P50</t>
  </si>
  <si>
    <t>&lt; P10</t>
  </si>
  <si>
    <t>Holiday</t>
  </si>
  <si>
    <t>Date</t>
  </si>
  <si>
    <t>New Year's Day</t>
  </si>
  <si>
    <t>Martin Luther King, Jr. Day</t>
  </si>
  <si>
    <t>Presidents' Day</t>
  </si>
  <si>
    <t>Good Friday</t>
  </si>
  <si>
    <t>Memorial Day</t>
  </si>
  <si>
    <t>Juneteenth</t>
  </si>
  <si>
    <t>Independence Day (Observed)</t>
  </si>
  <si>
    <t>Labor Day</t>
  </si>
  <si>
    <t>Thanksgiving Day</t>
  </si>
  <si>
    <t>Christmas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</si>
</sst>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Helvetica Neue"/>
    </font>
    <font>
      <color theme="1"/>
      <name val="Arial"/>
    </font>
    <font>
      <color rgb="FF000000"/>
      <name val="Helvetica Neue"/>
    </font>
    <font>
      <color rgb="FF1F1F1F"/>
      <name val="&quot;Google Sans Text&quot;"/>
    </font>
    <font>
      <b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readingOrder="0" vertical="top"/>
    </xf>
    <xf borderId="1" fillId="3" fontId="2" numFmtId="164" xfId="0" applyAlignment="1" applyBorder="1" applyFill="1" applyFont="1" applyNumberFormat="1">
      <alignment readingOrder="0" vertical="top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 vertical="top"/>
    </xf>
    <xf borderId="0" fillId="0" fontId="1" numFmtId="0" xfId="0" applyAlignment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AAPL-1 Quantile Forecast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'AAPL-1'!$A$1:$A$184</c:f>
            </c:strRef>
          </c:cat>
          <c:val>
            <c:numRef>
              <c:f>'AAPL-1'!$B$1:$B$184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'AAPL-1'!$A$1:$A$184</c:f>
            </c:strRef>
          </c:cat>
          <c:val>
            <c:numRef>
              <c:f>'AAPL-1'!$C$1:$C$184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'AAPL-1'!$A$1:$A$184</c:f>
            </c:strRef>
          </c:cat>
          <c:val>
            <c:numRef>
              <c:f>'AAPL-1'!$D$1:$D$184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'AAPL-1'!$A$1:$A$184</c:f>
            </c:strRef>
          </c:cat>
          <c:val>
            <c:numRef>
              <c:f>'AAPL-1'!$E$1:$E$184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'AAPL-1'!$A$1:$A$184</c:f>
            </c:strRef>
          </c:cat>
          <c:val>
            <c:numRef>
              <c:f>'AAPL-1'!$F$1:$F$184</c:f>
              <c:numCache/>
            </c:numRef>
          </c:val>
          <c:smooth val="1"/>
        </c:ser>
        <c:axId val="990767794"/>
        <c:axId val="539464222"/>
      </c:lineChart>
      <c:catAx>
        <c:axId val="990767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9464222"/>
      </c:catAx>
      <c:valAx>
        <c:axId val="539464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Prediction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76779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SPY-1 - Quantile Projections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'SPY-1'!$A$1:$A$214</c:f>
            </c:strRef>
          </c:cat>
          <c:val>
            <c:numRef>
              <c:f>'SPY-1'!$B$1:$B$214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'SPY-1'!$A$1:$A$214</c:f>
            </c:strRef>
          </c:cat>
          <c:val>
            <c:numRef>
              <c:f>'SPY-1'!$C$1:$C$214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'SPY-1'!$A$1:$A$214</c:f>
            </c:strRef>
          </c:cat>
          <c:val>
            <c:numRef>
              <c:f>'SPY-1'!$D$1:$D$214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'SPY-1'!$A$1:$A$214</c:f>
            </c:strRef>
          </c:cat>
          <c:val>
            <c:numRef>
              <c:f>'SPY-1'!$E$1:$E$214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'SPY-1'!$A$1:$A$214</c:f>
            </c:strRef>
          </c:cat>
          <c:val>
            <c:numRef>
              <c:f>'SPY-1'!$F$1:$F$214</c:f>
              <c:numCache/>
            </c:numRef>
          </c:val>
          <c:smooth val="1"/>
        </c:ser>
        <c:axId val="836385242"/>
        <c:axId val="1347028565"/>
      </c:lineChart>
      <c:catAx>
        <c:axId val="836385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028565"/>
      </c:catAx>
      <c:valAx>
        <c:axId val="1347028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38524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SPY-2 Quantile Forecast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'SPY-2'!$A$1:$A$28</c:f>
            </c:strRef>
          </c:cat>
          <c:val>
            <c:numRef>
              <c:f>'SPY-2'!$B$1:$B$28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'SPY-2'!$A$1:$A$28</c:f>
            </c:strRef>
          </c:cat>
          <c:val>
            <c:numRef>
              <c:f>'SPY-2'!$C$1:$C$28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'SPY-2'!$A$1:$A$28</c:f>
            </c:strRef>
          </c:cat>
          <c:val>
            <c:numRef>
              <c:f>'SPY-2'!$D$1:$D$28</c:f>
              <c:numCache/>
            </c:numRef>
          </c:val>
          <c:smooth val="1"/>
        </c:ser>
        <c:axId val="822071079"/>
        <c:axId val="212074789"/>
      </c:lineChart>
      <c:catAx>
        <c:axId val="822071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74789"/>
      </c:catAx>
      <c:valAx>
        <c:axId val="212074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Prediction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07107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PLTR-1 Quantile Forecast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'PLTR-1'!$A$1:$A$247</c:f>
            </c:strRef>
          </c:cat>
          <c:val>
            <c:numRef>
              <c:f>'PLTR-1'!$B$1:$B$247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'PLTR-1'!$A$1:$A$247</c:f>
            </c:strRef>
          </c:cat>
          <c:val>
            <c:numRef>
              <c:f>'PLTR-1'!$D$1:$D$247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'PLTR-1'!$A$1:$A$247</c:f>
            </c:strRef>
          </c:cat>
          <c:val>
            <c:numRef>
              <c:f>'PLTR-1'!$F$1:$F$247</c:f>
              <c:numCache/>
            </c:numRef>
          </c:val>
          <c:smooth val="1"/>
        </c:ser>
        <c:axId val="259206611"/>
        <c:axId val="204705417"/>
      </c:lineChart>
      <c:catAx>
        <c:axId val="259206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05417"/>
      </c:catAx>
      <c:valAx>
        <c:axId val="204705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Prediction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20661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GOOGL-1 Quantile Forecast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'GOOGL-1'!$A$1:$A$13</c:f>
            </c:strRef>
          </c:cat>
          <c:val>
            <c:numRef>
              <c:f>'GOOGL-1'!$B$1:$B$13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'GOOGL-1'!$A$1:$A$13</c:f>
            </c:strRef>
          </c:cat>
          <c:val>
            <c:numRef>
              <c:f>'GOOGL-1'!$C$1:$C$13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'GOOGL-1'!$A$1:$A$13</c:f>
            </c:strRef>
          </c:cat>
          <c:val>
            <c:numRef>
              <c:f>'GOOGL-1'!$D$1:$D$13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'GOOGL-1'!$A$1:$A$13</c:f>
            </c:strRef>
          </c:cat>
          <c:val>
            <c:numRef>
              <c:f>'GOOGL-1'!$E$1:$E$13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'GOOGL-1'!$A$1:$A$13</c:f>
            </c:strRef>
          </c:cat>
          <c:val>
            <c:numRef>
              <c:f>'GOOGL-1'!$F$1:$F$13</c:f>
              <c:numCache/>
            </c:numRef>
          </c:val>
          <c:smooth val="1"/>
        </c:ser>
        <c:axId val="1962902841"/>
        <c:axId val="784075203"/>
      </c:lineChart>
      <c:catAx>
        <c:axId val="1962902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075203"/>
      </c:catAx>
      <c:valAx>
        <c:axId val="784075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Prediction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90284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MSFT-1 Quantile Forecast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'MSFT-1'!$A$1:$A$179</c:f>
            </c:strRef>
          </c:cat>
          <c:val>
            <c:numRef>
              <c:f>'MSFT-1'!$B$1:$B$179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'MSFT-1'!$A$1:$A$179</c:f>
            </c:strRef>
          </c:cat>
          <c:val>
            <c:numRef>
              <c:f>'MSFT-1'!$C$1:$C$179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'MSFT-1'!$A$1:$A$179</c:f>
            </c:strRef>
          </c:cat>
          <c:val>
            <c:numRef>
              <c:f>'MSFT-1'!$D$1:$D$179</c:f>
              <c:numCache/>
            </c:numRef>
          </c:val>
          <c:smooth val="1"/>
        </c:ser>
        <c:axId val="529062997"/>
        <c:axId val="1471247571"/>
      </c:lineChart>
      <c:catAx>
        <c:axId val="529062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247571"/>
      </c:catAx>
      <c:valAx>
        <c:axId val="1471247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Prediction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06299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7381875" cy="4572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1</xdr:row>
      <xdr:rowOff>28575</xdr:rowOff>
    </xdr:from>
    <xdr:ext cx="6276975" cy="38862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25</xdr:row>
      <xdr:rowOff>0</xdr:rowOff>
    </xdr:from>
    <xdr:ext cx="6419850" cy="3810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676275</xdr:colOff>
      <xdr:row>8</xdr:row>
      <xdr:rowOff>161925</xdr:rowOff>
    </xdr:from>
    <xdr:ext cx="2971800" cy="1838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476250</xdr:colOff>
      <xdr:row>17</xdr:row>
      <xdr:rowOff>76200</xdr:rowOff>
    </xdr:from>
    <xdr:ext cx="3086100" cy="19145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9</xdr:row>
      <xdr:rowOff>19050</xdr:rowOff>
    </xdr:from>
    <xdr:ext cx="4029075" cy="24955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amzid Ullah" id="{cb7ba2b5-c05a-4aef-a08b-4d3a5274b8c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6T02:16:27.00" personId="{cb7ba2b5-c05a-4aef-a08b-4d3a5274b8c0}" id="{4bd67f31-cd9e-4ab0-8c54-157df941c8fb}" done="0">
    <x18tc:text xml:space="preserve">v3 TEST: Drive API is now working!
Last Row Data: Thu Oct 01 2026 00:00:00 GMT-0400 (Eastern Daylight Time) | 164.528 | 230.797 | 284.114 | 320.564 | 391.637</x18tc:text>
  </x18tc:threadedComment>
  <x18tc:threadedComment ref="A1" dT="2026-04-26T02:09:32.00" personId="{cb7ba2b5-c05a-4aef-a08b-4d3a5274b8c0}" id="{778dd098-4950-494d-9ebb-a89b70807ad4}" done="0">
    <x18tc:text xml:space="preserve">v3 TEST: Drive API is now working!
Last Row Data: Thu Oct 01 2026 00:00:00 GMT-0400 (Eastern Daylight Time) | 164.528 | 230.797 | 284.114 | 320.564 | 391.637</x18tc:text>
  </x18tc:threadedComment>
  <x18tc:threadedComment ref="A1" dT="2026-04-26T02:11:40.00" personId="{cb7ba2b5-c05a-4aef-a08b-4d3a5274b8c0}" id="{9dfb1ed9-fcbf-45b6-a645-4293f6c6dd24}" done="0">
    <x18tc:text xml:space="preserve">v3 TEST: Drive API is now working!
Last Row Data: Thu Oct 01 2026 00:00:00 GMT-0400 (Eastern Daylight Time) | 164.528 | 230.797 | 284.114 | 320.564 | 391.637</x18tc:text>
  </x18tc:threadedComment>
  <x18tc:threadedComment ref="A1" dT="2026-04-26T02:10:11.00" personId="{cb7ba2b5-c05a-4aef-a08b-4d3a5274b8c0}" id="{49e5a53f-f976-4522-8db0-b92e9b698c43}" done="0">
    <x18tc:text xml:space="preserve">v3 TEST: Drive API is now working!
Last Row Data: Thu Oct 01 2026 00:00:00 GMT-0400 (Eastern Daylight Time) | 164.528 | 230.797 | 284.114 | 320.564 | 391.637</x18tc:text>
  </x18tc:threadedComment>
  <x18tc:threadedComment ref="A1" dT="2026-04-26T02:18:51.00" personId="{cb7ba2b5-c05a-4aef-a08b-4d3a5274b8c0}" id="{144bacc4-d29d-4e28-a146-cb1af56d1325}" done="0">
    <x18tc:text xml:space="preserve">v3 TEST: Drive API is now working!
Last Row Data: Thu Oct 01 2026 00:00:00 GMT-0400 (Eastern Daylight Time) | 164.528 | 230.797 | 284.114 | 320.564 | 391.637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  <c r="F1" s="3" t="s">
        <v>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46031.0</v>
      </c>
      <c r="B2" s="6">
        <v>183.957</v>
      </c>
      <c r="C2" s="6">
        <v>237.862</v>
      </c>
      <c r="D2" s="6">
        <v>285.993</v>
      </c>
      <c r="E2" s="6">
        <v>341.29</v>
      </c>
      <c r="F2" s="6">
        <v>406.116</v>
      </c>
      <c r="J2" s="2"/>
      <c r="L2" s="1"/>
      <c r="M2" s="7"/>
      <c r="N2" s="2"/>
      <c r="O2" s="7"/>
      <c r="P2" s="1"/>
      <c r="Q2" s="7"/>
      <c r="R2" s="7"/>
      <c r="S2" s="7"/>
      <c r="T2" s="7"/>
      <c r="U2" s="7"/>
      <c r="V2" s="7"/>
      <c r="W2" s="7"/>
      <c r="X2" s="7"/>
      <c r="Y2" s="7"/>
    </row>
    <row r="3">
      <c r="A3" s="4">
        <v>46034.0</v>
      </c>
      <c r="B3" s="6">
        <v>147.004</v>
      </c>
      <c r="C3" s="6">
        <v>224.796</v>
      </c>
      <c r="D3" s="6">
        <v>285.283</v>
      </c>
      <c r="E3" s="6">
        <v>336.085</v>
      </c>
      <c r="F3" s="6">
        <v>405.006</v>
      </c>
      <c r="J3" s="2"/>
      <c r="L3" s="1"/>
      <c r="M3" s="7"/>
      <c r="N3" s="2"/>
      <c r="O3" s="7"/>
      <c r="P3" s="1"/>
      <c r="Q3" s="7"/>
      <c r="R3" s="7"/>
      <c r="S3" s="7"/>
      <c r="T3" s="7"/>
      <c r="U3" s="7"/>
      <c r="V3" s="7"/>
      <c r="W3" s="7"/>
      <c r="X3" s="7"/>
      <c r="Y3" s="7"/>
    </row>
    <row r="4">
      <c r="A4" s="4">
        <v>46035.0</v>
      </c>
      <c r="B4" s="6">
        <v>196.12</v>
      </c>
      <c r="C4" s="6">
        <v>248.162</v>
      </c>
      <c r="D4" s="6">
        <v>285.243</v>
      </c>
      <c r="E4" s="6">
        <v>324.042</v>
      </c>
      <c r="F4" s="6">
        <v>377.527</v>
      </c>
      <c r="J4" s="2"/>
      <c r="L4" s="1"/>
      <c r="M4" s="7"/>
      <c r="N4" s="2"/>
      <c r="O4" s="7"/>
    </row>
    <row r="5">
      <c r="A5" s="4">
        <v>46036.0</v>
      </c>
      <c r="B5" s="6">
        <v>94.239</v>
      </c>
      <c r="C5" s="6">
        <v>218.235</v>
      </c>
      <c r="D5" s="6">
        <v>282.747</v>
      </c>
      <c r="E5" s="6">
        <v>326.618</v>
      </c>
      <c r="F5" s="6">
        <v>413.299</v>
      </c>
      <c r="J5" s="2"/>
      <c r="L5" s="1"/>
      <c r="M5" s="7"/>
      <c r="N5" s="2"/>
      <c r="O5" s="7"/>
    </row>
    <row r="6">
      <c r="A6" s="4">
        <v>46037.0</v>
      </c>
      <c r="B6" s="6">
        <v>133.553</v>
      </c>
      <c r="C6" s="6">
        <v>233.028</v>
      </c>
      <c r="D6" s="6">
        <v>278.99</v>
      </c>
      <c r="E6" s="6">
        <v>323.077</v>
      </c>
      <c r="F6" s="6">
        <v>414.984</v>
      </c>
      <c r="N6" s="1"/>
      <c r="O6" s="1"/>
    </row>
    <row r="7">
      <c r="A7" s="4">
        <v>46038.0</v>
      </c>
      <c r="B7" s="6">
        <v>189.444</v>
      </c>
      <c r="C7" s="6">
        <v>234.553</v>
      </c>
      <c r="D7" s="6">
        <v>285.083</v>
      </c>
      <c r="E7" s="6">
        <v>337.49</v>
      </c>
      <c r="F7" s="6">
        <v>386.954</v>
      </c>
    </row>
    <row r="8">
      <c r="A8" s="4">
        <v>46042.0</v>
      </c>
      <c r="B8" s="6">
        <v>183.379</v>
      </c>
      <c r="C8" s="6">
        <v>245.953</v>
      </c>
      <c r="D8" s="6">
        <v>285.448</v>
      </c>
      <c r="E8" s="6">
        <v>317.0</v>
      </c>
      <c r="F8" s="6">
        <v>357.896</v>
      </c>
    </row>
    <row r="9">
      <c r="A9" s="4">
        <v>46043.0</v>
      </c>
      <c r="B9" s="6">
        <v>145.03</v>
      </c>
      <c r="C9" s="6">
        <v>235.787</v>
      </c>
      <c r="D9" s="6">
        <v>283.85</v>
      </c>
      <c r="E9" s="6">
        <v>323.843</v>
      </c>
      <c r="F9" s="6">
        <v>387.033</v>
      </c>
    </row>
    <row r="10">
      <c r="A10" s="4">
        <v>46044.0</v>
      </c>
      <c r="B10" s="6">
        <v>94.193</v>
      </c>
      <c r="C10" s="6">
        <v>238.341</v>
      </c>
      <c r="D10" s="6">
        <v>283.869</v>
      </c>
      <c r="E10" s="6">
        <v>325.17</v>
      </c>
      <c r="F10" s="6">
        <v>441.567</v>
      </c>
    </row>
    <row r="11">
      <c r="A11" s="4">
        <v>46045.0</v>
      </c>
      <c r="B11" s="6">
        <v>65.952</v>
      </c>
      <c r="C11" s="6">
        <v>212.589</v>
      </c>
      <c r="D11" s="6">
        <v>283.104</v>
      </c>
      <c r="E11" s="6">
        <v>318.071</v>
      </c>
      <c r="F11" s="6">
        <v>355.082</v>
      </c>
    </row>
    <row r="12">
      <c r="A12" s="4">
        <v>46048.0</v>
      </c>
      <c r="B12" s="6">
        <v>184.591</v>
      </c>
      <c r="C12" s="6">
        <v>242.912</v>
      </c>
      <c r="D12" s="6">
        <v>285.017</v>
      </c>
      <c r="E12" s="6">
        <v>336.796</v>
      </c>
      <c r="F12" s="6">
        <v>488.495</v>
      </c>
    </row>
    <row r="13">
      <c r="A13" s="4">
        <v>46049.0</v>
      </c>
      <c r="B13" s="6">
        <v>80.151</v>
      </c>
      <c r="C13" s="6">
        <v>248.513</v>
      </c>
      <c r="D13" s="6">
        <v>289.11</v>
      </c>
      <c r="E13" s="6">
        <v>325.731</v>
      </c>
      <c r="F13" s="6">
        <v>389.795</v>
      </c>
    </row>
    <row r="14">
      <c r="A14" s="4">
        <v>46050.0</v>
      </c>
      <c r="B14" s="6">
        <v>76.042</v>
      </c>
      <c r="C14" s="6">
        <v>250.174</v>
      </c>
      <c r="D14" s="6">
        <v>289.959</v>
      </c>
      <c r="E14" s="6">
        <v>337.517</v>
      </c>
      <c r="F14" s="6">
        <v>412.458</v>
      </c>
    </row>
    <row r="15">
      <c r="A15" s="4">
        <v>46051.0</v>
      </c>
      <c r="B15" s="6">
        <v>206.451</v>
      </c>
      <c r="C15" s="6">
        <v>236.629</v>
      </c>
      <c r="D15" s="6">
        <v>282.715</v>
      </c>
      <c r="E15" s="6">
        <v>318.81</v>
      </c>
      <c r="F15" s="6">
        <v>459.764</v>
      </c>
    </row>
    <row r="16">
      <c r="A16" s="4">
        <v>46052.0</v>
      </c>
      <c r="B16" s="6">
        <v>114.663</v>
      </c>
      <c r="C16" s="6">
        <v>243.286</v>
      </c>
      <c r="D16" s="6">
        <v>281.628</v>
      </c>
      <c r="E16" s="6">
        <v>325.984</v>
      </c>
      <c r="F16" s="6">
        <v>424.694</v>
      </c>
    </row>
    <row r="17">
      <c r="A17" s="4">
        <v>46055.0</v>
      </c>
      <c r="B17" s="6">
        <v>158.97</v>
      </c>
      <c r="C17" s="6">
        <v>232.254</v>
      </c>
      <c r="D17" s="6">
        <v>284.539</v>
      </c>
      <c r="E17" s="6">
        <v>320.556</v>
      </c>
      <c r="F17" s="6">
        <v>383.323</v>
      </c>
    </row>
    <row r="18">
      <c r="A18" s="4">
        <v>46056.0</v>
      </c>
      <c r="B18" s="6">
        <v>223.918</v>
      </c>
      <c r="C18" s="6">
        <v>250.424</v>
      </c>
      <c r="D18" s="6">
        <v>287.414</v>
      </c>
      <c r="E18" s="6">
        <v>324.713</v>
      </c>
      <c r="F18" s="6">
        <v>381.294</v>
      </c>
    </row>
    <row r="19">
      <c r="A19" s="4">
        <v>46057.0</v>
      </c>
      <c r="B19" s="6">
        <v>203.613</v>
      </c>
      <c r="C19" s="6">
        <v>233.229</v>
      </c>
      <c r="D19" s="6">
        <v>279.431</v>
      </c>
      <c r="E19" s="6">
        <v>326.065</v>
      </c>
      <c r="F19" s="6">
        <v>424.451</v>
      </c>
    </row>
    <row r="20">
      <c r="A20" s="4">
        <v>46058.0</v>
      </c>
      <c r="B20" s="6">
        <v>106.379</v>
      </c>
      <c r="C20" s="6">
        <v>239.501</v>
      </c>
      <c r="D20" s="6">
        <v>288.282</v>
      </c>
      <c r="E20" s="6">
        <v>337.038</v>
      </c>
      <c r="F20" s="6">
        <v>525.213</v>
      </c>
    </row>
    <row r="21">
      <c r="A21" s="4">
        <v>46059.0</v>
      </c>
      <c r="B21" s="6">
        <v>125.141</v>
      </c>
      <c r="C21" s="6">
        <v>250.019</v>
      </c>
      <c r="D21" s="6">
        <v>284.758</v>
      </c>
      <c r="E21" s="6">
        <v>339.754</v>
      </c>
      <c r="F21" s="6">
        <v>498.437</v>
      </c>
    </row>
    <row r="22">
      <c r="A22" s="4">
        <v>46062.0</v>
      </c>
      <c r="B22" s="6">
        <v>112.24</v>
      </c>
      <c r="C22" s="6">
        <v>243.717</v>
      </c>
      <c r="D22" s="6">
        <v>288.909</v>
      </c>
      <c r="E22" s="6">
        <v>336.088</v>
      </c>
      <c r="F22" s="6">
        <v>484.477</v>
      </c>
    </row>
    <row r="23">
      <c r="A23" s="4">
        <v>46063.0</v>
      </c>
      <c r="B23" s="6">
        <v>168.438</v>
      </c>
      <c r="C23" s="6">
        <v>244.559</v>
      </c>
      <c r="D23" s="6">
        <v>291.742</v>
      </c>
      <c r="E23" s="6">
        <v>332.11</v>
      </c>
      <c r="F23" s="6">
        <v>422.133</v>
      </c>
    </row>
    <row r="24">
      <c r="A24" s="4">
        <v>46064.0</v>
      </c>
      <c r="B24" s="6">
        <v>134.294</v>
      </c>
      <c r="C24" s="6">
        <v>232.514</v>
      </c>
      <c r="D24" s="6">
        <v>280.674</v>
      </c>
      <c r="E24" s="6">
        <v>324.579</v>
      </c>
      <c r="F24" s="6">
        <v>383.75</v>
      </c>
    </row>
    <row r="25">
      <c r="A25" s="4">
        <v>46065.0</v>
      </c>
      <c r="B25" s="6">
        <v>212.146</v>
      </c>
      <c r="C25" s="6">
        <v>261.796</v>
      </c>
      <c r="D25" s="6">
        <v>287.985</v>
      </c>
      <c r="E25" s="6">
        <v>330.952</v>
      </c>
      <c r="F25" s="6">
        <v>598.141</v>
      </c>
    </row>
    <row r="26">
      <c r="A26" s="4">
        <v>46066.0</v>
      </c>
      <c r="B26" s="6">
        <v>141.211</v>
      </c>
      <c r="C26" s="6">
        <v>253.936</v>
      </c>
      <c r="D26" s="6">
        <v>286.946</v>
      </c>
      <c r="E26" s="6">
        <v>320.121</v>
      </c>
      <c r="F26" s="6">
        <v>359.47</v>
      </c>
    </row>
    <row r="27">
      <c r="A27" s="4">
        <v>46070.0</v>
      </c>
      <c r="B27" s="6">
        <v>153.766</v>
      </c>
      <c r="C27" s="6">
        <v>231.611</v>
      </c>
      <c r="D27" s="6">
        <v>283.828</v>
      </c>
      <c r="E27" s="6">
        <v>327.664</v>
      </c>
      <c r="F27" s="6">
        <v>476.029</v>
      </c>
    </row>
    <row r="28">
      <c r="A28" s="4">
        <v>46071.0</v>
      </c>
      <c r="B28" s="6">
        <v>135.091</v>
      </c>
      <c r="C28" s="6">
        <v>243.558</v>
      </c>
      <c r="D28" s="6">
        <v>284.451</v>
      </c>
      <c r="E28" s="6">
        <v>333.469</v>
      </c>
      <c r="F28" s="6">
        <v>408.684</v>
      </c>
    </row>
    <row r="29">
      <c r="A29" s="4">
        <v>46072.0</v>
      </c>
      <c r="B29" s="6">
        <v>199.445</v>
      </c>
      <c r="C29" s="6">
        <v>237.581</v>
      </c>
      <c r="D29" s="6">
        <v>285.511</v>
      </c>
      <c r="E29" s="6">
        <v>345.708</v>
      </c>
      <c r="F29" s="6">
        <v>618.643</v>
      </c>
    </row>
    <row r="30">
      <c r="A30" s="4">
        <v>46073.0</v>
      </c>
      <c r="B30" s="6">
        <v>151.998</v>
      </c>
      <c r="C30" s="6">
        <v>238.25</v>
      </c>
      <c r="D30" s="6">
        <v>282.084</v>
      </c>
      <c r="E30" s="6">
        <v>322.913</v>
      </c>
      <c r="F30" s="6">
        <v>366.23</v>
      </c>
    </row>
    <row r="31">
      <c r="A31" s="4">
        <v>46076.0</v>
      </c>
      <c r="B31" s="6">
        <v>6.483</v>
      </c>
      <c r="C31" s="6">
        <v>222.989</v>
      </c>
      <c r="D31" s="6">
        <v>279.7</v>
      </c>
      <c r="E31" s="6">
        <v>312.069</v>
      </c>
      <c r="F31" s="6">
        <v>460.368</v>
      </c>
    </row>
    <row r="32">
      <c r="A32" s="4">
        <v>46077.0</v>
      </c>
      <c r="B32" s="6">
        <v>109.979</v>
      </c>
      <c r="C32" s="6">
        <v>225.398</v>
      </c>
      <c r="D32" s="6">
        <v>285.541</v>
      </c>
      <c r="E32" s="6">
        <v>329.443</v>
      </c>
      <c r="F32" s="6">
        <v>405.199</v>
      </c>
    </row>
    <row r="33">
      <c r="A33" s="4">
        <v>46078.0</v>
      </c>
      <c r="B33" s="6">
        <v>190.656</v>
      </c>
      <c r="C33" s="6">
        <v>245.585</v>
      </c>
      <c r="D33" s="6">
        <v>287.728</v>
      </c>
      <c r="E33" s="6">
        <v>331.295</v>
      </c>
      <c r="F33" s="6">
        <v>473.406</v>
      </c>
    </row>
    <row r="34">
      <c r="A34" s="4">
        <v>46079.0</v>
      </c>
      <c r="B34" s="6">
        <v>128.111</v>
      </c>
      <c r="C34" s="6">
        <v>233.783</v>
      </c>
      <c r="D34" s="6">
        <v>282.46</v>
      </c>
      <c r="E34" s="6">
        <v>326.859</v>
      </c>
      <c r="F34" s="6">
        <v>501.085</v>
      </c>
    </row>
    <row r="35">
      <c r="A35" s="4">
        <v>46080.0</v>
      </c>
      <c r="B35" s="6">
        <v>210.603</v>
      </c>
      <c r="C35" s="6">
        <v>252.114</v>
      </c>
      <c r="D35" s="6">
        <v>284.303</v>
      </c>
      <c r="E35" s="6">
        <v>327.997</v>
      </c>
      <c r="F35" s="6">
        <v>405.443</v>
      </c>
    </row>
    <row r="36">
      <c r="A36" s="4">
        <v>46083.0</v>
      </c>
      <c r="B36" s="6">
        <v>163.324</v>
      </c>
      <c r="C36" s="6">
        <v>249.366</v>
      </c>
      <c r="D36" s="6">
        <v>285.52</v>
      </c>
      <c r="E36" s="6">
        <v>332.644</v>
      </c>
      <c r="F36" s="6">
        <v>430.586</v>
      </c>
    </row>
    <row r="37">
      <c r="A37" s="4">
        <v>46084.0</v>
      </c>
      <c r="B37" s="6">
        <v>151.365</v>
      </c>
      <c r="C37" s="6">
        <v>241.996</v>
      </c>
      <c r="D37" s="6">
        <v>288.115</v>
      </c>
      <c r="E37" s="6">
        <v>333.382</v>
      </c>
      <c r="F37" s="6">
        <v>375.58</v>
      </c>
    </row>
    <row r="38">
      <c r="A38" s="4">
        <v>46085.0</v>
      </c>
      <c r="B38" s="6">
        <v>186.522</v>
      </c>
      <c r="C38" s="6">
        <v>242.086</v>
      </c>
      <c r="D38" s="6">
        <v>286.783</v>
      </c>
      <c r="E38" s="6">
        <v>331.424</v>
      </c>
      <c r="F38" s="6">
        <v>401.276</v>
      </c>
    </row>
    <row r="39">
      <c r="A39" s="4">
        <v>46086.0</v>
      </c>
      <c r="B39" s="6">
        <v>203.554</v>
      </c>
      <c r="C39" s="6">
        <v>251.476</v>
      </c>
      <c r="D39" s="6">
        <v>280.385</v>
      </c>
      <c r="E39" s="6">
        <v>318.935</v>
      </c>
      <c r="F39" s="6">
        <v>602.999</v>
      </c>
    </row>
    <row r="40">
      <c r="A40" s="4">
        <v>46087.0</v>
      </c>
      <c r="B40" s="6">
        <v>189.501</v>
      </c>
      <c r="C40" s="6">
        <v>239.843</v>
      </c>
      <c r="D40" s="6">
        <v>281.273</v>
      </c>
      <c r="E40" s="6">
        <v>313.386</v>
      </c>
      <c r="F40" s="6">
        <v>376.631</v>
      </c>
    </row>
    <row r="41">
      <c r="A41" s="4">
        <v>46090.0</v>
      </c>
      <c r="B41" s="6">
        <v>147.576</v>
      </c>
      <c r="C41" s="6">
        <v>252.928</v>
      </c>
      <c r="D41" s="6">
        <v>286.403</v>
      </c>
      <c r="E41" s="6">
        <v>316.548</v>
      </c>
      <c r="F41" s="6">
        <v>355.245</v>
      </c>
    </row>
    <row r="42">
      <c r="A42" s="4">
        <v>46091.0</v>
      </c>
      <c r="B42" s="6">
        <v>170.86</v>
      </c>
      <c r="C42" s="6">
        <v>244.146</v>
      </c>
      <c r="D42" s="6">
        <v>280.616</v>
      </c>
      <c r="E42" s="6">
        <v>315.979</v>
      </c>
      <c r="F42" s="6">
        <v>435.58</v>
      </c>
    </row>
    <row r="43">
      <c r="A43" s="4">
        <v>46092.0</v>
      </c>
      <c r="B43" s="6">
        <v>64.614</v>
      </c>
      <c r="C43" s="6">
        <v>250.181</v>
      </c>
      <c r="D43" s="6">
        <v>291.114</v>
      </c>
      <c r="E43" s="6">
        <v>333.744</v>
      </c>
      <c r="F43" s="6">
        <v>401.105</v>
      </c>
    </row>
    <row r="44">
      <c r="A44" s="4">
        <v>46093.0</v>
      </c>
      <c r="B44" s="6">
        <v>79.659</v>
      </c>
      <c r="C44" s="6">
        <v>229.446</v>
      </c>
      <c r="D44" s="6">
        <v>284.671</v>
      </c>
      <c r="E44" s="6">
        <v>332.385</v>
      </c>
      <c r="F44" s="6">
        <v>404.202</v>
      </c>
    </row>
    <row r="45">
      <c r="A45" s="4">
        <v>46094.0</v>
      </c>
      <c r="B45" s="6">
        <v>193.61</v>
      </c>
      <c r="C45" s="6">
        <v>244.025</v>
      </c>
      <c r="D45" s="6">
        <v>288.095</v>
      </c>
      <c r="E45" s="6">
        <v>322.131</v>
      </c>
      <c r="F45" s="6">
        <v>405.72</v>
      </c>
    </row>
    <row r="46">
      <c r="A46" s="4">
        <v>46097.0</v>
      </c>
      <c r="B46" s="6">
        <v>150.408</v>
      </c>
      <c r="C46" s="6">
        <v>243.012</v>
      </c>
      <c r="D46" s="6">
        <v>280.089</v>
      </c>
      <c r="E46" s="6">
        <v>321.077</v>
      </c>
      <c r="F46" s="6">
        <v>468.133</v>
      </c>
    </row>
    <row r="47">
      <c r="A47" s="4">
        <v>46098.0</v>
      </c>
      <c r="B47" s="6">
        <v>138.927</v>
      </c>
      <c r="C47" s="6">
        <v>241.962</v>
      </c>
      <c r="D47" s="6">
        <v>280.172</v>
      </c>
      <c r="E47" s="6">
        <v>312.488</v>
      </c>
      <c r="F47" s="6">
        <v>366.561</v>
      </c>
    </row>
    <row r="48">
      <c r="A48" s="4">
        <v>46099.0</v>
      </c>
      <c r="B48" s="6">
        <v>59.893</v>
      </c>
      <c r="C48" s="6">
        <v>216.861</v>
      </c>
      <c r="D48" s="6">
        <v>293.719</v>
      </c>
      <c r="E48" s="6">
        <v>324.594</v>
      </c>
      <c r="F48" s="6">
        <v>392.718</v>
      </c>
    </row>
    <row r="49">
      <c r="A49" s="4">
        <v>46100.0</v>
      </c>
      <c r="B49" s="6">
        <v>188.614</v>
      </c>
      <c r="C49" s="6">
        <v>241.919</v>
      </c>
      <c r="D49" s="6">
        <v>291.582</v>
      </c>
      <c r="E49" s="6">
        <v>330.762</v>
      </c>
      <c r="F49" s="6">
        <v>419.039</v>
      </c>
    </row>
    <row r="50">
      <c r="A50" s="4">
        <v>46101.0</v>
      </c>
      <c r="B50" s="6">
        <v>119.256</v>
      </c>
      <c r="C50" s="6">
        <v>239.103</v>
      </c>
      <c r="D50" s="6">
        <v>284.793</v>
      </c>
      <c r="E50" s="6">
        <v>315.739</v>
      </c>
      <c r="F50" s="6">
        <v>368.202</v>
      </c>
    </row>
    <row r="51">
      <c r="A51" s="4">
        <v>46104.0</v>
      </c>
      <c r="B51" s="6">
        <v>114.625</v>
      </c>
      <c r="C51" s="6">
        <v>244.521</v>
      </c>
      <c r="D51" s="6">
        <v>279.905</v>
      </c>
      <c r="E51" s="6">
        <v>315.72</v>
      </c>
      <c r="F51" s="6">
        <v>349.344</v>
      </c>
    </row>
    <row r="52">
      <c r="A52" s="4">
        <v>46105.0</v>
      </c>
      <c r="B52" s="6">
        <v>23.99</v>
      </c>
      <c r="C52" s="6">
        <v>247.874</v>
      </c>
      <c r="D52" s="6">
        <v>289.278</v>
      </c>
      <c r="E52" s="6">
        <v>332.934</v>
      </c>
      <c r="F52" s="6">
        <v>583.886</v>
      </c>
    </row>
    <row r="53">
      <c r="A53" s="4">
        <v>46106.0</v>
      </c>
      <c r="B53" s="6">
        <v>-184.736</v>
      </c>
      <c r="C53" s="6">
        <v>238.704</v>
      </c>
      <c r="D53" s="6">
        <v>287.934</v>
      </c>
      <c r="E53" s="6">
        <v>336.064</v>
      </c>
      <c r="F53" s="6">
        <v>386.796</v>
      </c>
    </row>
    <row r="54">
      <c r="A54" s="4">
        <v>46107.0</v>
      </c>
      <c r="B54" s="6">
        <v>104.625</v>
      </c>
      <c r="C54" s="6">
        <v>210.358</v>
      </c>
      <c r="D54" s="6">
        <v>284.744</v>
      </c>
      <c r="E54" s="6">
        <v>314.129</v>
      </c>
      <c r="F54" s="6">
        <v>358.603</v>
      </c>
    </row>
    <row r="55">
      <c r="A55" s="4">
        <v>46108.0</v>
      </c>
      <c r="B55" s="6">
        <v>198.844</v>
      </c>
      <c r="C55" s="6">
        <v>243.404</v>
      </c>
      <c r="D55" s="6">
        <v>282.147</v>
      </c>
      <c r="E55" s="6">
        <v>322.964</v>
      </c>
      <c r="F55" s="6">
        <v>621.845</v>
      </c>
    </row>
    <row r="56">
      <c r="A56" s="4">
        <v>46111.0</v>
      </c>
      <c r="B56" s="6">
        <v>14.361</v>
      </c>
      <c r="C56" s="6">
        <v>245.271</v>
      </c>
      <c r="D56" s="6">
        <v>285.293</v>
      </c>
      <c r="E56" s="6">
        <v>334.125</v>
      </c>
      <c r="F56" s="6">
        <v>472.271</v>
      </c>
    </row>
    <row r="57">
      <c r="A57" s="4">
        <v>46112.0</v>
      </c>
      <c r="B57" s="6">
        <v>66.581</v>
      </c>
      <c r="C57" s="6">
        <v>246.507</v>
      </c>
      <c r="D57" s="6">
        <v>281.829</v>
      </c>
      <c r="E57" s="6">
        <v>328.797</v>
      </c>
      <c r="F57" s="6">
        <v>407.291</v>
      </c>
    </row>
    <row r="58">
      <c r="A58" s="4">
        <v>46113.0</v>
      </c>
      <c r="B58" s="6">
        <v>178.786</v>
      </c>
      <c r="C58" s="6">
        <v>245.54</v>
      </c>
      <c r="D58" s="6">
        <v>290.659</v>
      </c>
      <c r="E58" s="6">
        <v>329.897</v>
      </c>
      <c r="F58" s="6">
        <v>384.0</v>
      </c>
    </row>
    <row r="59">
      <c r="A59" s="4">
        <v>46114.0</v>
      </c>
      <c r="B59" s="6">
        <v>173.014</v>
      </c>
      <c r="C59" s="6">
        <v>244.977</v>
      </c>
      <c r="D59" s="6">
        <v>287.84</v>
      </c>
      <c r="E59" s="6">
        <v>329.332</v>
      </c>
      <c r="F59" s="6">
        <v>387.266</v>
      </c>
    </row>
    <row r="60">
      <c r="A60" s="4">
        <v>46118.0</v>
      </c>
      <c r="B60" s="6">
        <v>189.77</v>
      </c>
      <c r="C60" s="6">
        <v>251.466</v>
      </c>
      <c r="D60" s="6">
        <v>286.086</v>
      </c>
      <c r="E60" s="6">
        <v>321.182</v>
      </c>
      <c r="F60" s="6">
        <v>403.784</v>
      </c>
    </row>
    <row r="61">
      <c r="A61" s="4">
        <v>46119.0</v>
      </c>
      <c r="B61" s="6">
        <v>216.825</v>
      </c>
      <c r="C61" s="6">
        <v>251.99</v>
      </c>
      <c r="D61" s="6">
        <v>287.149</v>
      </c>
      <c r="E61" s="6">
        <v>327.383</v>
      </c>
      <c r="F61" s="6">
        <v>370.083</v>
      </c>
    </row>
    <row r="62">
      <c r="A62" s="4">
        <v>46120.0</v>
      </c>
      <c r="B62" s="6">
        <v>192.341</v>
      </c>
      <c r="C62" s="6">
        <v>249.271</v>
      </c>
      <c r="D62" s="6">
        <v>288.39</v>
      </c>
      <c r="E62" s="6">
        <v>337.551</v>
      </c>
      <c r="F62" s="6">
        <v>706.947</v>
      </c>
    </row>
    <row r="63">
      <c r="A63" s="4">
        <v>46121.0</v>
      </c>
      <c r="B63" s="6">
        <v>60.72</v>
      </c>
      <c r="C63" s="6">
        <v>229.555</v>
      </c>
      <c r="D63" s="6">
        <v>279.003</v>
      </c>
      <c r="E63" s="6">
        <v>321.045</v>
      </c>
      <c r="F63" s="6">
        <v>375.595</v>
      </c>
    </row>
    <row r="64">
      <c r="A64" s="4">
        <v>46122.0</v>
      </c>
      <c r="B64" s="6">
        <v>175.771</v>
      </c>
      <c r="C64" s="6">
        <v>245.275</v>
      </c>
      <c r="D64" s="6">
        <v>285.159</v>
      </c>
      <c r="E64" s="6">
        <v>330.623</v>
      </c>
      <c r="F64" s="6">
        <v>383.541</v>
      </c>
    </row>
    <row r="65">
      <c r="A65" s="4">
        <v>46125.0</v>
      </c>
      <c r="B65" s="6">
        <v>132.269</v>
      </c>
      <c r="C65" s="6">
        <v>219.416</v>
      </c>
      <c r="D65" s="6">
        <v>278.77</v>
      </c>
      <c r="E65" s="6">
        <v>308.762</v>
      </c>
      <c r="F65" s="6">
        <v>338.307</v>
      </c>
    </row>
    <row r="66">
      <c r="A66" s="4">
        <v>46126.0</v>
      </c>
      <c r="B66" s="6">
        <v>41.179</v>
      </c>
      <c r="C66" s="6">
        <v>244.448</v>
      </c>
      <c r="D66" s="6">
        <v>289.363</v>
      </c>
      <c r="E66" s="6">
        <v>334.918</v>
      </c>
      <c r="F66" s="6">
        <v>531.121</v>
      </c>
    </row>
    <row r="67">
      <c r="A67" s="4">
        <v>46127.0</v>
      </c>
      <c r="B67" s="6">
        <v>229.916</v>
      </c>
      <c r="C67" s="6">
        <v>257.765</v>
      </c>
      <c r="D67" s="6">
        <v>289.137</v>
      </c>
      <c r="E67" s="6">
        <v>324.821</v>
      </c>
      <c r="F67" s="6">
        <v>505.359</v>
      </c>
    </row>
    <row r="68">
      <c r="A68" s="4">
        <v>46128.0</v>
      </c>
      <c r="B68" s="6">
        <v>172.355</v>
      </c>
      <c r="C68" s="6">
        <v>239.294</v>
      </c>
      <c r="D68" s="6">
        <v>279.64</v>
      </c>
      <c r="E68" s="6">
        <v>329.086</v>
      </c>
      <c r="F68" s="6">
        <v>403.09</v>
      </c>
    </row>
    <row r="69">
      <c r="A69" s="4">
        <v>46129.0</v>
      </c>
      <c r="B69" s="6">
        <v>135.567</v>
      </c>
      <c r="C69" s="6">
        <v>234.92</v>
      </c>
      <c r="D69" s="6">
        <v>280.801</v>
      </c>
      <c r="E69" s="6">
        <v>328.107</v>
      </c>
      <c r="F69" s="6">
        <v>359.268</v>
      </c>
    </row>
    <row r="70">
      <c r="A70" s="4">
        <v>46132.0</v>
      </c>
      <c r="B70" s="6">
        <v>139.831</v>
      </c>
      <c r="C70" s="6">
        <v>237.384</v>
      </c>
      <c r="D70" s="6">
        <v>285.731</v>
      </c>
      <c r="E70" s="6">
        <v>316.043</v>
      </c>
      <c r="F70" s="6">
        <v>434.617</v>
      </c>
    </row>
    <row r="71">
      <c r="A71" s="4">
        <v>46133.0</v>
      </c>
      <c r="B71" s="6">
        <v>210.16</v>
      </c>
      <c r="C71" s="6">
        <v>253.135</v>
      </c>
      <c r="D71" s="6">
        <v>284.913</v>
      </c>
      <c r="E71" s="6">
        <v>331.711</v>
      </c>
      <c r="F71" s="6">
        <v>460.608</v>
      </c>
    </row>
    <row r="72">
      <c r="A72" s="4">
        <v>46134.0</v>
      </c>
      <c r="B72" s="6">
        <v>140.901</v>
      </c>
      <c r="C72" s="6">
        <v>234.944</v>
      </c>
      <c r="D72" s="6">
        <v>283.236</v>
      </c>
      <c r="E72" s="6">
        <v>335.352</v>
      </c>
      <c r="F72" s="6">
        <v>391.776</v>
      </c>
    </row>
    <row r="73">
      <c r="A73" s="4">
        <v>46135.0</v>
      </c>
      <c r="B73" s="6">
        <v>52.117</v>
      </c>
      <c r="C73" s="6">
        <v>220.418</v>
      </c>
      <c r="D73" s="6">
        <v>277.807</v>
      </c>
      <c r="E73" s="6">
        <v>327.76</v>
      </c>
      <c r="F73" s="6">
        <v>371.719</v>
      </c>
    </row>
    <row r="74">
      <c r="A74" s="4">
        <v>46136.0</v>
      </c>
      <c r="B74" s="6">
        <v>100.445</v>
      </c>
      <c r="C74" s="6">
        <v>242.332</v>
      </c>
      <c r="D74" s="6">
        <v>280.667</v>
      </c>
      <c r="E74" s="6">
        <v>330.458</v>
      </c>
      <c r="F74" s="6">
        <v>363.477</v>
      </c>
    </row>
    <row r="75">
      <c r="A75" s="4">
        <v>46139.0</v>
      </c>
      <c r="B75" s="6">
        <v>152.55</v>
      </c>
      <c r="C75" s="6">
        <v>240.774</v>
      </c>
      <c r="D75" s="6">
        <v>284.866</v>
      </c>
      <c r="E75" s="6">
        <v>329.372</v>
      </c>
      <c r="F75" s="6">
        <v>405.937</v>
      </c>
    </row>
    <row r="76">
      <c r="A76" s="4">
        <v>46140.0</v>
      </c>
      <c r="B76" s="6">
        <v>-17.835</v>
      </c>
      <c r="C76" s="6">
        <v>232.896</v>
      </c>
      <c r="D76" s="6">
        <v>284.376</v>
      </c>
      <c r="E76" s="6">
        <v>319.702</v>
      </c>
      <c r="F76" s="6">
        <v>419.699</v>
      </c>
    </row>
    <row r="77">
      <c r="A77" s="4">
        <v>46141.0</v>
      </c>
      <c r="B77" s="6">
        <v>145.821</v>
      </c>
      <c r="C77" s="6">
        <v>243.125</v>
      </c>
      <c r="D77" s="6">
        <v>283.542</v>
      </c>
      <c r="E77" s="6">
        <v>314.317</v>
      </c>
      <c r="F77" s="6">
        <v>436.38</v>
      </c>
    </row>
    <row r="78">
      <c r="A78" s="4">
        <v>46142.0</v>
      </c>
      <c r="B78" s="6">
        <v>133.112</v>
      </c>
      <c r="C78" s="6">
        <v>229.34</v>
      </c>
      <c r="D78" s="6">
        <v>285.577</v>
      </c>
      <c r="E78" s="6">
        <v>310.036</v>
      </c>
      <c r="F78" s="6">
        <v>409.726</v>
      </c>
    </row>
    <row r="79">
      <c r="A79" s="4">
        <v>46143.0</v>
      </c>
      <c r="B79" s="6">
        <v>69.391</v>
      </c>
      <c r="C79" s="6">
        <v>216.113</v>
      </c>
      <c r="D79" s="6">
        <v>281.959</v>
      </c>
      <c r="E79" s="6">
        <v>314.542</v>
      </c>
      <c r="F79" s="6">
        <v>419.183</v>
      </c>
    </row>
    <row r="80">
      <c r="A80" s="4">
        <v>46146.0</v>
      </c>
      <c r="B80" s="6">
        <v>193.577</v>
      </c>
      <c r="C80" s="6">
        <v>257.277</v>
      </c>
      <c r="D80" s="6">
        <v>284.156</v>
      </c>
      <c r="E80" s="6">
        <v>316.617</v>
      </c>
      <c r="F80" s="6">
        <v>470.023</v>
      </c>
    </row>
    <row r="81">
      <c r="A81" s="4">
        <v>46147.0</v>
      </c>
      <c r="B81" s="6">
        <v>173.047</v>
      </c>
      <c r="C81" s="6">
        <v>247.997</v>
      </c>
      <c r="D81" s="6">
        <v>285.81</v>
      </c>
      <c r="E81" s="6">
        <v>325.557</v>
      </c>
      <c r="F81" s="6">
        <v>404.611</v>
      </c>
    </row>
    <row r="82">
      <c r="A82" s="4">
        <v>46148.0</v>
      </c>
      <c r="B82" s="6">
        <v>187.068</v>
      </c>
      <c r="C82" s="6">
        <v>254.263</v>
      </c>
      <c r="D82" s="6">
        <v>285.434</v>
      </c>
      <c r="E82" s="6">
        <v>350.299</v>
      </c>
      <c r="F82" s="6">
        <v>633.459</v>
      </c>
    </row>
    <row r="83">
      <c r="A83" s="4">
        <v>46149.0</v>
      </c>
      <c r="B83" s="6">
        <v>108.293</v>
      </c>
      <c r="C83" s="6">
        <v>230.276</v>
      </c>
      <c r="D83" s="6">
        <v>284.382</v>
      </c>
      <c r="E83" s="6">
        <v>323.86</v>
      </c>
      <c r="F83" s="6">
        <v>384.441</v>
      </c>
    </row>
    <row r="84">
      <c r="A84" s="4">
        <v>46150.0</v>
      </c>
      <c r="B84" s="6">
        <v>175.032</v>
      </c>
      <c r="C84" s="6">
        <v>248.106</v>
      </c>
      <c r="D84" s="6">
        <v>289.997</v>
      </c>
      <c r="E84" s="6">
        <v>334.462</v>
      </c>
      <c r="F84" s="6">
        <v>423.988</v>
      </c>
    </row>
    <row r="85">
      <c r="A85" s="4">
        <v>46153.0</v>
      </c>
      <c r="B85" s="6">
        <v>0.215</v>
      </c>
      <c r="C85" s="6">
        <v>234.112</v>
      </c>
      <c r="D85" s="6">
        <v>283.254</v>
      </c>
      <c r="E85" s="6">
        <v>331.444</v>
      </c>
      <c r="F85" s="6">
        <v>479.386</v>
      </c>
    </row>
    <row r="86">
      <c r="A86" s="4">
        <v>46154.0</v>
      </c>
      <c r="B86" s="6">
        <v>180.553</v>
      </c>
      <c r="C86" s="6">
        <v>248.888</v>
      </c>
      <c r="D86" s="6">
        <v>288.429</v>
      </c>
      <c r="E86" s="6">
        <v>323.875</v>
      </c>
      <c r="F86" s="6">
        <v>396.433</v>
      </c>
    </row>
    <row r="87">
      <c r="A87" s="4">
        <v>46155.0</v>
      </c>
      <c r="B87" s="6">
        <v>151.427</v>
      </c>
      <c r="C87" s="6">
        <v>256.914</v>
      </c>
      <c r="D87" s="6">
        <v>284.104</v>
      </c>
      <c r="E87" s="6">
        <v>321.876</v>
      </c>
      <c r="F87" s="6">
        <v>489.543</v>
      </c>
    </row>
    <row r="88">
      <c r="A88" s="4">
        <v>46156.0</v>
      </c>
      <c r="B88" s="6">
        <v>231.948</v>
      </c>
      <c r="C88" s="6">
        <v>247.55</v>
      </c>
      <c r="D88" s="6">
        <v>288.563</v>
      </c>
      <c r="E88" s="6">
        <v>327.716</v>
      </c>
      <c r="F88" s="6">
        <v>399.802</v>
      </c>
    </row>
    <row r="89">
      <c r="A89" s="4">
        <v>46157.0</v>
      </c>
      <c r="B89" s="6">
        <v>112.713</v>
      </c>
      <c r="C89" s="6">
        <v>244.428</v>
      </c>
      <c r="D89" s="6">
        <v>288.04</v>
      </c>
      <c r="E89" s="6">
        <v>342.982</v>
      </c>
      <c r="F89" s="6">
        <v>423.573</v>
      </c>
    </row>
    <row r="90">
      <c r="A90" s="4">
        <v>46160.0</v>
      </c>
      <c r="B90" s="6">
        <v>96.646</v>
      </c>
      <c r="C90" s="6">
        <v>223.956</v>
      </c>
      <c r="D90" s="6">
        <v>278.135</v>
      </c>
      <c r="E90" s="6">
        <v>341.747</v>
      </c>
      <c r="F90" s="6">
        <v>395.063</v>
      </c>
    </row>
    <row r="91">
      <c r="A91" s="4">
        <v>46161.0</v>
      </c>
      <c r="B91" s="6">
        <v>55.346</v>
      </c>
      <c r="C91" s="6">
        <v>246.189</v>
      </c>
      <c r="D91" s="6">
        <v>286.442</v>
      </c>
      <c r="E91" s="6">
        <v>342.538</v>
      </c>
      <c r="F91" s="6">
        <v>505.545</v>
      </c>
    </row>
    <row r="92">
      <c r="A92" s="4">
        <v>46162.0</v>
      </c>
      <c r="B92" s="6">
        <v>171.125</v>
      </c>
      <c r="C92" s="6">
        <v>243.891</v>
      </c>
      <c r="D92" s="6">
        <v>286.425</v>
      </c>
      <c r="E92" s="6">
        <v>320.732</v>
      </c>
      <c r="F92" s="6">
        <v>359.732</v>
      </c>
    </row>
    <row r="93">
      <c r="A93" s="4">
        <v>46163.0</v>
      </c>
      <c r="B93" s="6">
        <v>221.838</v>
      </c>
      <c r="C93" s="6">
        <v>257.379</v>
      </c>
      <c r="D93" s="6">
        <v>284.385</v>
      </c>
      <c r="E93" s="6">
        <v>327.589</v>
      </c>
      <c r="F93" s="6">
        <v>493.495</v>
      </c>
    </row>
    <row r="94">
      <c r="A94" s="4">
        <v>46164.0</v>
      </c>
      <c r="B94" s="6">
        <v>201.439</v>
      </c>
      <c r="C94" s="6">
        <v>241.686</v>
      </c>
      <c r="D94" s="6">
        <v>286.74</v>
      </c>
      <c r="E94" s="6">
        <v>341.147</v>
      </c>
      <c r="F94" s="6">
        <v>444.355</v>
      </c>
    </row>
    <row r="95">
      <c r="A95" s="4">
        <v>46168.0</v>
      </c>
      <c r="B95" s="6">
        <v>0.655</v>
      </c>
      <c r="C95" s="6">
        <v>219.964</v>
      </c>
      <c r="D95" s="6">
        <v>279.103</v>
      </c>
      <c r="E95" s="6">
        <v>322.624</v>
      </c>
      <c r="F95" s="6">
        <v>463.013</v>
      </c>
    </row>
    <row r="96">
      <c r="A96" s="4">
        <v>46169.0</v>
      </c>
      <c r="B96" s="6">
        <v>116.81</v>
      </c>
      <c r="C96" s="6">
        <v>237.837</v>
      </c>
      <c r="D96" s="6">
        <v>284.733</v>
      </c>
      <c r="E96" s="6">
        <v>321.945</v>
      </c>
      <c r="F96" s="6">
        <v>395.49</v>
      </c>
    </row>
    <row r="97">
      <c r="A97" s="4">
        <v>46170.0</v>
      </c>
      <c r="B97" s="6">
        <v>151.266</v>
      </c>
      <c r="C97" s="6">
        <v>232.104</v>
      </c>
      <c r="D97" s="6">
        <v>284.865</v>
      </c>
      <c r="E97" s="6">
        <v>324.058</v>
      </c>
      <c r="F97" s="6">
        <v>360.355</v>
      </c>
    </row>
    <row r="98">
      <c r="A98" s="4">
        <v>46171.0</v>
      </c>
      <c r="B98" s="6">
        <v>185.191</v>
      </c>
      <c r="C98" s="6">
        <v>247.136</v>
      </c>
      <c r="D98" s="6">
        <v>287.841</v>
      </c>
      <c r="E98" s="6">
        <v>333.565</v>
      </c>
      <c r="F98" s="6">
        <v>410.546</v>
      </c>
    </row>
    <row r="99">
      <c r="A99" s="4">
        <v>46174.0</v>
      </c>
      <c r="B99" s="6">
        <v>125.638</v>
      </c>
      <c r="C99" s="6">
        <v>240.801</v>
      </c>
      <c r="D99" s="6">
        <v>281.131</v>
      </c>
      <c r="E99" s="6">
        <v>323.013</v>
      </c>
      <c r="F99" s="6">
        <v>409.293</v>
      </c>
    </row>
    <row r="100">
      <c r="A100" s="4">
        <v>46175.0</v>
      </c>
      <c r="B100" s="6">
        <v>153.894</v>
      </c>
      <c r="C100" s="6">
        <v>243.437</v>
      </c>
      <c r="D100" s="6">
        <v>286.605</v>
      </c>
      <c r="E100" s="6">
        <v>344.241</v>
      </c>
      <c r="F100" s="6">
        <v>407.055</v>
      </c>
    </row>
    <row r="101">
      <c r="A101" s="4">
        <v>46176.0</v>
      </c>
      <c r="B101" s="6">
        <v>210.583</v>
      </c>
      <c r="C101" s="6">
        <v>236.684</v>
      </c>
      <c r="D101" s="6">
        <v>282.655</v>
      </c>
      <c r="E101" s="6">
        <v>311.533</v>
      </c>
      <c r="F101" s="6">
        <v>371.048</v>
      </c>
    </row>
    <row r="102">
      <c r="A102" s="4">
        <v>46177.0</v>
      </c>
      <c r="B102" s="6">
        <v>135.756</v>
      </c>
      <c r="C102" s="6">
        <v>228.788</v>
      </c>
      <c r="D102" s="6">
        <v>281.99</v>
      </c>
      <c r="E102" s="6">
        <v>326.992</v>
      </c>
      <c r="F102" s="6">
        <v>596.74</v>
      </c>
    </row>
    <row r="103">
      <c r="A103" s="4">
        <v>46178.0</v>
      </c>
      <c r="B103" s="6">
        <v>146.414</v>
      </c>
      <c r="C103" s="6">
        <v>248.668</v>
      </c>
      <c r="D103" s="6">
        <v>288.711</v>
      </c>
      <c r="E103" s="6">
        <v>338.458</v>
      </c>
      <c r="F103" s="6">
        <v>396.414</v>
      </c>
    </row>
    <row r="104">
      <c r="A104" s="4">
        <v>46181.0</v>
      </c>
      <c r="B104" s="6">
        <v>151.674</v>
      </c>
      <c r="C104" s="6">
        <v>237.739</v>
      </c>
      <c r="D104" s="6">
        <v>287.894</v>
      </c>
      <c r="E104" s="6">
        <v>334.568</v>
      </c>
      <c r="F104" s="6">
        <v>457.802</v>
      </c>
    </row>
    <row r="105">
      <c r="A105" s="4">
        <v>46182.0</v>
      </c>
      <c r="B105" s="6">
        <v>123.356</v>
      </c>
      <c r="C105" s="6">
        <v>243.903</v>
      </c>
      <c r="D105" s="6">
        <v>281.407</v>
      </c>
      <c r="E105" s="6">
        <v>315.956</v>
      </c>
      <c r="F105" s="6">
        <v>411.066</v>
      </c>
    </row>
    <row r="106">
      <c r="A106" s="4">
        <v>46183.0</v>
      </c>
      <c r="B106" s="6">
        <v>31.997</v>
      </c>
      <c r="C106" s="6">
        <v>233.507</v>
      </c>
      <c r="D106" s="6">
        <v>291.237</v>
      </c>
      <c r="E106" s="6">
        <v>340.067</v>
      </c>
      <c r="F106" s="6">
        <v>390.128</v>
      </c>
    </row>
    <row r="107">
      <c r="A107" s="4">
        <v>46184.0</v>
      </c>
      <c r="B107" s="6">
        <v>7.99</v>
      </c>
      <c r="C107" s="6">
        <v>229.977</v>
      </c>
      <c r="D107" s="6">
        <v>287.292</v>
      </c>
      <c r="E107" s="6">
        <v>342.88</v>
      </c>
      <c r="F107" s="6">
        <v>528.93</v>
      </c>
    </row>
    <row r="108">
      <c r="A108" s="4">
        <v>46185.0</v>
      </c>
      <c r="B108" s="6">
        <v>122.122</v>
      </c>
      <c r="C108" s="6">
        <v>244.752</v>
      </c>
      <c r="D108" s="6">
        <v>283.386</v>
      </c>
      <c r="E108" s="6">
        <v>327.054</v>
      </c>
      <c r="F108" s="6">
        <v>396.252</v>
      </c>
    </row>
    <row r="109">
      <c r="A109" s="4">
        <v>46188.0</v>
      </c>
      <c r="B109" s="6">
        <v>-83.282</v>
      </c>
      <c r="C109" s="6">
        <v>237.992</v>
      </c>
      <c r="D109" s="6">
        <v>283.323</v>
      </c>
      <c r="E109" s="6">
        <v>322.504</v>
      </c>
      <c r="F109" s="6">
        <v>367.346</v>
      </c>
    </row>
    <row r="110">
      <c r="A110" s="4">
        <v>46189.0</v>
      </c>
      <c r="B110" s="6">
        <v>65.662</v>
      </c>
      <c r="C110" s="6">
        <v>231.732</v>
      </c>
      <c r="D110" s="6">
        <v>282.244</v>
      </c>
      <c r="E110" s="6">
        <v>321.965</v>
      </c>
      <c r="F110" s="6">
        <v>357.008</v>
      </c>
    </row>
    <row r="111">
      <c r="A111" s="4">
        <v>46190.0</v>
      </c>
      <c r="B111" s="6">
        <v>107.964</v>
      </c>
      <c r="C111" s="6">
        <v>235.946</v>
      </c>
      <c r="D111" s="6">
        <v>286.648</v>
      </c>
      <c r="E111" s="6">
        <v>317.786</v>
      </c>
      <c r="F111" s="6">
        <v>621.941</v>
      </c>
    </row>
    <row r="112">
      <c r="A112" s="4">
        <v>46191.0</v>
      </c>
      <c r="B112" s="6">
        <v>116.697</v>
      </c>
      <c r="C112" s="6">
        <v>247.963</v>
      </c>
      <c r="D112" s="6">
        <v>287.709</v>
      </c>
      <c r="E112" s="6">
        <v>330.174</v>
      </c>
      <c r="F112" s="6">
        <v>398.858</v>
      </c>
    </row>
    <row r="113">
      <c r="A113" s="4">
        <v>46195.0</v>
      </c>
      <c r="B113" s="6">
        <v>201.14</v>
      </c>
      <c r="C113" s="6">
        <v>247.097</v>
      </c>
      <c r="D113" s="6">
        <v>286.914</v>
      </c>
      <c r="E113" s="6">
        <v>328.268</v>
      </c>
      <c r="F113" s="6">
        <v>375.844</v>
      </c>
    </row>
    <row r="114">
      <c r="A114" s="4">
        <v>46196.0</v>
      </c>
      <c r="B114" s="6">
        <v>113.666</v>
      </c>
      <c r="C114" s="6">
        <v>242.044</v>
      </c>
      <c r="D114" s="6">
        <v>279.15</v>
      </c>
      <c r="E114" s="6">
        <v>320.438</v>
      </c>
      <c r="F114" s="6">
        <v>366.521</v>
      </c>
    </row>
    <row r="115">
      <c r="A115" s="4">
        <v>46197.0</v>
      </c>
      <c r="B115" s="6">
        <v>132.371</v>
      </c>
      <c r="C115" s="6">
        <v>239.543</v>
      </c>
      <c r="D115" s="6">
        <v>286.902</v>
      </c>
      <c r="E115" s="6">
        <v>317.262</v>
      </c>
      <c r="F115" s="6">
        <v>368.209</v>
      </c>
    </row>
    <row r="116">
      <c r="A116" s="4">
        <v>46198.0</v>
      </c>
      <c r="B116" s="6">
        <v>161.838</v>
      </c>
      <c r="C116" s="6">
        <v>230.149</v>
      </c>
      <c r="D116" s="6">
        <v>287.474</v>
      </c>
      <c r="E116" s="6">
        <v>338.713</v>
      </c>
      <c r="F116" s="6">
        <v>473.463</v>
      </c>
    </row>
    <row r="117">
      <c r="A117" s="4">
        <v>46199.0</v>
      </c>
      <c r="B117" s="6">
        <v>152.927</v>
      </c>
      <c r="C117" s="6">
        <v>247.728</v>
      </c>
      <c r="D117" s="6">
        <v>284.046</v>
      </c>
      <c r="E117" s="6">
        <v>314.465</v>
      </c>
      <c r="F117" s="6">
        <v>355.71</v>
      </c>
    </row>
    <row r="118">
      <c r="A118" s="4">
        <v>46202.0</v>
      </c>
      <c r="B118" s="6">
        <v>183.789</v>
      </c>
      <c r="C118" s="6">
        <v>252.362</v>
      </c>
      <c r="D118" s="6">
        <v>289.727</v>
      </c>
      <c r="E118" s="6">
        <v>328.899</v>
      </c>
      <c r="F118" s="6">
        <v>466.895</v>
      </c>
    </row>
    <row r="119">
      <c r="A119" s="4">
        <v>46203.0</v>
      </c>
      <c r="B119" s="6">
        <v>149.718</v>
      </c>
      <c r="C119" s="6">
        <v>224.182</v>
      </c>
      <c r="D119" s="6">
        <v>284.743</v>
      </c>
      <c r="E119" s="6">
        <v>326.148</v>
      </c>
      <c r="F119" s="6">
        <v>402.539</v>
      </c>
    </row>
    <row r="120">
      <c r="A120" s="4">
        <v>46204.0</v>
      </c>
      <c r="B120" s="6">
        <v>130.765</v>
      </c>
      <c r="C120" s="6">
        <v>250.634</v>
      </c>
      <c r="D120" s="6">
        <v>292.499</v>
      </c>
      <c r="E120" s="6">
        <v>340.454</v>
      </c>
      <c r="F120" s="6">
        <v>435.077</v>
      </c>
    </row>
    <row r="121">
      <c r="A121" s="4">
        <v>46205.0</v>
      </c>
      <c r="B121" s="6">
        <v>-27.94</v>
      </c>
      <c r="C121" s="6">
        <v>252.383</v>
      </c>
      <c r="D121" s="6">
        <v>285.881</v>
      </c>
      <c r="E121" s="6">
        <v>325.008</v>
      </c>
      <c r="F121" s="6">
        <v>373.826</v>
      </c>
    </row>
    <row r="122">
      <c r="A122" s="4">
        <v>46209.0</v>
      </c>
      <c r="B122" s="6">
        <v>203.943</v>
      </c>
      <c r="C122" s="6">
        <v>252.673</v>
      </c>
      <c r="D122" s="6">
        <v>284.114</v>
      </c>
      <c r="E122" s="6">
        <v>345.159</v>
      </c>
      <c r="F122" s="6">
        <v>395.812</v>
      </c>
    </row>
    <row r="123">
      <c r="A123" s="4">
        <v>46210.0</v>
      </c>
      <c r="B123" s="6">
        <v>52.375</v>
      </c>
      <c r="C123" s="6">
        <v>230.647</v>
      </c>
      <c r="D123" s="6">
        <v>282.856</v>
      </c>
      <c r="E123" s="6">
        <v>325.859</v>
      </c>
      <c r="F123" s="6">
        <v>447.377</v>
      </c>
    </row>
    <row r="124">
      <c r="A124" s="4">
        <v>46211.0</v>
      </c>
      <c r="B124" s="6">
        <v>91.084</v>
      </c>
      <c r="C124" s="6">
        <v>245.725</v>
      </c>
      <c r="D124" s="6">
        <v>286.217</v>
      </c>
      <c r="E124" s="6">
        <v>315.342</v>
      </c>
      <c r="F124" s="6">
        <v>416.332</v>
      </c>
    </row>
    <row r="125">
      <c r="A125" s="4">
        <v>46212.0</v>
      </c>
      <c r="B125" s="6">
        <v>126.715</v>
      </c>
      <c r="C125" s="6">
        <v>249.083</v>
      </c>
      <c r="D125" s="6">
        <v>286.951</v>
      </c>
      <c r="E125" s="6">
        <v>333.898</v>
      </c>
      <c r="F125" s="6">
        <v>441.766</v>
      </c>
    </row>
    <row r="126">
      <c r="A126" s="4">
        <v>46213.0</v>
      </c>
      <c r="B126" s="6">
        <v>199.053</v>
      </c>
      <c r="C126" s="6">
        <v>236.525</v>
      </c>
      <c r="D126" s="6">
        <v>283.112</v>
      </c>
      <c r="E126" s="6">
        <v>319.475</v>
      </c>
      <c r="F126" s="6">
        <v>489.903</v>
      </c>
    </row>
    <row r="127">
      <c r="A127" s="4">
        <v>46216.0</v>
      </c>
      <c r="B127" s="6">
        <v>9.093</v>
      </c>
      <c r="C127" s="6">
        <v>237.736</v>
      </c>
      <c r="D127" s="6">
        <v>286.635</v>
      </c>
      <c r="E127" s="6">
        <v>322.901</v>
      </c>
      <c r="F127" s="6">
        <v>359.066</v>
      </c>
    </row>
    <row r="128">
      <c r="A128" s="4">
        <v>46217.0</v>
      </c>
      <c r="B128" s="6">
        <v>183.024</v>
      </c>
      <c r="C128" s="6">
        <v>252.934</v>
      </c>
      <c r="D128" s="6">
        <v>286.271</v>
      </c>
      <c r="E128" s="6">
        <v>328.493</v>
      </c>
      <c r="F128" s="6">
        <v>433.503</v>
      </c>
    </row>
    <row r="129">
      <c r="A129" s="4">
        <v>46218.0</v>
      </c>
      <c r="B129" s="6">
        <v>190.323</v>
      </c>
      <c r="C129" s="6">
        <v>243.63</v>
      </c>
      <c r="D129" s="6">
        <v>280.747</v>
      </c>
      <c r="E129" s="6">
        <v>324.252</v>
      </c>
      <c r="F129" s="6">
        <v>420.059</v>
      </c>
    </row>
    <row r="130">
      <c r="A130" s="4">
        <v>46219.0</v>
      </c>
      <c r="B130" s="6">
        <v>110.386</v>
      </c>
      <c r="C130" s="6">
        <v>218.523</v>
      </c>
      <c r="D130" s="6">
        <v>282.979</v>
      </c>
      <c r="E130" s="6">
        <v>325.884</v>
      </c>
      <c r="F130" s="6">
        <v>361.077</v>
      </c>
    </row>
    <row r="131">
      <c r="A131" s="4">
        <v>46220.0</v>
      </c>
      <c r="B131" s="6">
        <v>152.267</v>
      </c>
      <c r="C131" s="6">
        <v>251.771</v>
      </c>
      <c r="D131" s="6">
        <v>286.126</v>
      </c>
      <c r="E131" s="6">
        <v>321.612</v>
      </c>
      <c r="F131" s="6">
        <v>390.358</v>
      </c>
    </row>
    <row r="132">
      <c r="A132" s="4">
        <v>46223.0</v>
      </c>
      <c r="B132" s="6">
        <v>208.168</v>
      </c>
      <c r="C132" s="6">
        <v>246.732</v>
      </c>
      <c r="D132" s="6">
        <v>288.245</v>
      </c>
      <c r="E132" s="6">
        <v>335.505</v>
      </c>
      <c r="F132" s="6">
        <v>409.999</v>
      </c>
    </row>
    <row r="133">
      <c r="A133" s="4">
        <v>46224.0</v>
      </c>
      <c r="B133" s="6">
        <v>166.856</v>
      </c>
      <c r="C133" s="6">
        <v>234.918</v>
      </c>
      <c r="D133" s="6">
        <v>280.894</v>
      </c>
      <c r="E133" s="6">
        <v>324.898</v>
      </c>
      <c r="F133" s="6">
        <v>412.595</v>
      </c>
    </row>
    <row r="134">
      <c r="A134" s="4">
        <v>46225.0</v>
      </c>
      <c r="B134" s="6">
        <v>146.631</v>
      </c>
      <c r="C134" s="6">
        <v>248.305</v>
      </c>
      <c r="D134" s="6">
        <v>281.904</v>
      </c>
      <c r="E134" s="6">
        <v>323.356</v>
      </c>
      <c r="F134" s="6">
        <v>383.494</v>
      </c>
    </row>
    <row r="135">
      <c r="A135" s="4">
        <v>46226.0</v>
      </c>
      <c r="B135" s="6">
        <v>-313.854</v>
      </c>
      <c r="C135" s="6">
        <v>232.705</v>
      </c>
      <c r="D135" s="6">
        <v>284.788</v>
      </c>
      <c r="E135" s="6">
        <v>333.296</v>
      </c>
      <c r="F135" s="6">
        <v>463.576</v>
      </c>
    </row>
    <row r="136">
      <c r="A136" s="4">
        <v>46227.0</v>
      </c>
      <c r="B136" s="6">
        <v>194.052</v>
      </c>
      <c r="C136" s="6">
        <v>231.956</v>
      </c>
      <c r="D136" s="6">
        <v>286.267</v>
      </c>
      <c r="E136" s="6">
        <v>326.735</v>
      </c>
      <c r="F136" s="6">
        <v>453.817</v>
      </c>
    </row>
    <row r="137">
      <c r="A137" s="4">
        <v>46230.0</v>
      </c>
      <c r="B137" s="6">
        <v>236.754</v>
      </c>
      <c r="C137" s="6">
        <v>256.7</v>
      </c>
      <c r="D137" s="6">
        <v>286.153</v>
      </c>
      <c r="E137" s="6">
        <v>325.114</v>
      </c>
      <c r="F137" s="6">
        <v>402.259</v>
      </c>
    </row>
    <row r="138">
      <c r="A138" s="4">
        <v>46231.0</v>
      </c>
      <c r="B138" s="6">
        <v>-8.06</v>
      </c>
      <c r="C138" s="6">
        <v>246.693</v>
      </c>
      <c r="D138" s="6">
        <v>283.75</v>
      </c>
      <c r="E138" s="6">
        <v>322.585</v>
      </c>
      <c r="F138" s="6">
        <v>473.994</v>
      </c>
    </row>
    <row r="139">
      <c r="A139" s="4">
        <v>46232.0</v>
      </c>
      <c r="B139" s="6">
        <v>208.497</v>
      </c>
      <c r="C139" s="6">
        <v>246.475</v>
      </c>
      <c r="D139" s="6">
        <v>289.744</v>
      </c>
      <c r="E139" s="6">
        <v>347.271</v>
      </c>
      <c r="F139" s="6">
        <v>500.915</v>
      </c>
    </row>
    <row r="140">
      <c r="A140" s="4">
        <v>46233.0</v>
      </c>
      <c r="B140" s="6">
        <v>69.599</v>
      </c>
      <c r="C140" s="6">
        <v>237.623</v>
      </c>
      <c r="D140" s="6">
        <v>285.415</v>
      </c>
      <c r="E140" s="6">
        <v>320.14</v>
      </c>
      <c r="F140" s="6">
        <v>489.367</v>
      </c>
    </row>
    <row r="141">
      <c r="A141" s="4">
        <v>46234.0</v>
      </c>
      <c r="B141" s="6">
        <v>167.198</v>
      </c>
      <c r="C141" s="6">
        <v>238.167</v>
      </c>
      <c r="D141" s="6">
        <v>280.14</v>
      </c>
      <c r="E141" s="6">
        <v>329.085</v>
      </c>
      <c r="F141" s="6">
        <v>499.518</v>
      </c>
    </row>
    <row r="142">
      <c r="A142" s="4">
        <v>46237.0</v>
      </c>
      <c r="B142" s="6">
        <v>120.978</v>
      </c>
      <c r="C142" s="6">
        <v>240.527</v>
      </c>
      <c r="D142" s="6">
        <v>285.572</v>
      </c>
      <c r="E142" s="6">
        <v>350.878</v>
      </c>
      <c r="F142" s="6">
        <v>538.877</v>
      </c>
    </row>
    <row r="143">
      <c r="A143" s="4">
        <v>46238.0</v>
      </c>
      <c r="B143" s="6">
        <v>132.626</v>
      </c>
      <c r="C143" s="6">
        <v>242.987</v>
      </c>
      <c r="D143" s="6">
        <v>290.606</v>
      </c>
      <c r="E143" s="6">
        <v>346.363</v>
      </c>
      <c r="F143" s="6">
        <v>535.3</v>
      </c>
    </row>
    <row r="144">
      <c r="A144" s="4">
        <v>46239.0</v>
      </c>
      <c r="B144" s="6">
        <v>195.427</v>
      </c>
      <c r="C144" s="6">
        <v>240.614</v>
      </c>
      <c r="D144" s="6">
        <v>280.794</v>
      </c>
      <c r="E144" s="6">
        <v>331.405</v>
      </c>
      <c r="F144" s="6">
        <v>397.763</v>
      </c>
    </row>
    <row r="145">
      <c r="A145" s="4">
        <v>46240.0</v>
      </c>
      <c r="B145" s="6">
        <v>131.884</v>
      </c>
      <c r="C145" s="6">
        <v>247.915</v>
      </c>
      <c r="D145" s="6">
        <v>285.107</v>
      </c>
      <c r="E145" s="6">
        <v>320.702</v>
      </c>
      <c r="F145" s="6">
        <v>375.131</v>
      </c>
    </row>
    <row r="146">
      <c r="A146" s="4">
        <v>46241.0</v>
      </c>
      <c r="B146" s="6">
        <v>139.818</v>
      </c>
      <c r="C146" s="6">
        <v>230.254</v>
      </c>
      <c r="D146" s="6">
        <v>285.057</v>
      </c>
      <c r="E146" s="6">
        <v>325.649</v>
      </c>
      <c r="F146" s="6">
        <v>352.428</v>
      </c>
    </row>
    <row r="147">
      <c r="A147" s="4">
        <v>46244.0</v>
      </c>
      <c r="B147" s="6">
        <v>144.68</v>
      </c>
      <c r="C147" s="6">
        <v>239.192</v>
      </c>
      <c r="D147" s="6">
        <v>287.469</v>
      </c>
      <c r="E147" s="6">
        <v>325.096</v>
      </c>
      <c r="F147" s="6">
        <v>449.514</v>
      </c>
    </row>
    <row r="148">
      <c r="A148" s="4">
        <v>46245.0</v>
      </c>
      <c r="B148" s="6">
        <v>213.348</v>
      </c>
      <c r="C148" s="6">
        <v>243.815</v>
      </c>
      <c r="D148" s="6">
        <v>282.029</v>
      </c>
      <c r="E148" s="6">
        <v>332.464</v>
      </c>
      <c r="F148" s="6">
        <v>429.969</v>
      </c>
    </row>
    <row r="149">
      <c r="A149" s="4">
        <v>46246.0</v>
      </c>
      <c r="B149" s="6">
        <v>67.238</v>
      </c>
      <c r="C149" s="6">
        <v>240.969</v>
      </c>
      <c r="D149" s="6">
        <v>285.729</v>
      </c>
      <c r="E149" s="6">
        <v>325.728</v>
      </c>
      <c r="F149" s="6">
        <v>444.639</v>
      </c>
    </row>
    <row r="150">
      <c r="A150" s="4">
        <v>46247.0</v>
      </c>
      <c r="B150" s="6">
        <v>116.156</v>
      </c>
      <c r="C150" s="6">
        <v>226.544</v>
      </c>
      <c r="D150" s="6">
        <v>278.722</v>
      </c>
      <c r="E150" s="6">
        <v>326.176</v>
      </c>
      <c r="F150" s="6">
        <v>384.269</v>
      </c>
    </row>
    <row r="151">
      <c r="A151" s="4">
        <v>46248.0</v>
      </c>
      <c r="B151" s="6">
        <v>32.189</v>
      </c>
      <c r="C151" s="6">
        <v>237.229</v>
      </c>
      <c r="D151" s="6">
        <v>280.127</v>
      </c>
      <c r="E151" s="6">
        <v>336.253</v>
      </c>
      <c r="F151" s="6">
        <v>528.688</v>
      </c>
    </row>
    <row r="152">
      <c r="A152" s="4">
        <v>46251.0</v>
      </c>
      <c r="B152" s="6">
        <v>146.224</v>
      </c>
      <c r="C152" s="6">
        <v>234.262</v>
      </c>
      <c r="D152" s="6">
        <v>285.758</v>
      </c>
      <c r="E152" s="6">
        <v>345.136</v>
      </c>
      <c r="F152" s="6">
        <v>614.719</v>
      </c>
    </row>
    <row r="153">
      <c r="A153" s="4">
        <v>46252.0</v>
      </c>
      <c r="B153" s="6">
        <v>121.556</v>
      </c>
      <c r="C153" s="6">
        <v>252.77</v>
      </c>
      <c r="D153" s="6">
        <v>282.599</v>
      </c>
      <c r="E153" s="6">
        <v>320.601</v>
      </c>
      <c r="F153" s="6">
        <v>366.775</v>
      </c>
    </row>
    <row r="154">
      <c r="A154" s="4">
        <v>46253.0</v>
      </c>
      <c r="B154" s="6">
        <v>-15.726</v>
      </c>
      <c r="C154" s="6">
        <v>243.892</v>
      </c>
      <c r="D154" s="6">
        <v>284.59</v>
      </c>
      <c r="E154" s="6">
        <v>326.25</v>
      </c>
      <c r="F154" s="6">
        <v>411.233</v>
      </c>
    </row>
    <row r="155">
      <c r="A155" s="4">
        <v>46254.0</v>
      </c>
      <c r="B155" s="6">
        <v>32.627</v>
      </c>
      <c r="C155" s="6">
        <v>234.25</v>
      </c>
      <c r="D155" s="6">
        <v>282.771</v>
      </c>
      <c r="E155" s="6">
        <v>329.371</v>
      </c>
      <c r="F155" s="6">
        <v>405.752</v>
      </c>
    </row>
    <row r="156">
      <c r="A156" s="4">
        <v>46255.0</v>
      </c>
      <c r="B156" s="6">
        <v>182.029</v>
      </c>
      <c r="C156" s="6">
        <v>255.343</v>
      </c>
      <c r="D156" s="6">
        <v>284.617</v>
      </c>
      <c r="E156" s="6">
        <v>329.263</v>
      </c>
      <c r="F156" s="6">
        <v>384.696</v>
      </c>
    </row>
    <row r="157">
      <c r="A157" s="4">
        <v>46258.0</v>
      </c>
      <c r="B157" s="6">
        <v>2.172</v>
      </c>
      <c r="C157" s="6">
        <v>246.157</v>
      </c>
      <c r="D157" s="6">
        <v>283.428</v>
      </c>
      <c r="E157" s="6">
        <v>317.108</v>
      </c>
      <c r="F157" s="6">
        <v>333.537</v>
      </c>
    </row>
    <row r="158">
      <c r="A158" s="4">
        <v>46259.0</v>
      </c>
      <c r="B158" s="6">
        <v>199.651</v>
      </c>
      <c r="C158" s="6">
        <v>247.009</v>
      </c>
      <c r="D158" s="6">
        <v>285.944</v>
      </c>
      <c r="E158" s="6">
        <v>330.317</v>
      </c>
      <c r="F158" s="6">
        <v>397.671</v>
      </c>
    </row>
    <row r="159">
      <c r="A159" s="4">
        <v>46260.0</v>
      </c>
      <c r="B159" s="6">
        <v>99.255</v>
      </c>
      <c r="C159" s="6">
        <v>248.908</v>
      </c>
      <c r="D159" s="6">
        <v>288.372</v>
      </c>
      <c r="E159" s="6">
        <v>330.463</v>
      </c>
      <c r="F159" s="6">
        <v>426.377</v>
      </c>
    </row>
    <row r="160">
      <c r="A160" s="4">
        <v>46261.0</v>
      </c>
      <c r="B160" s="6">
        <v>222.574</v>
      </c>
      <c r="C160" s="6">
        <v>241.366</v>
      </c>
      <c r="D160" s="6">
        <v>285.718</v>
      </c>
      <c r="E160" s="6">
        <v>330.93</v>
      </c>
      <c r="F160" s="6">
        <v>378.569</v>
      </c>
    </row>
    <row r="161">
      <c r="A161" s="4">
        <v>46262.0</v>
      </c>
      <c r="B161" s="6">
        <v>135.661</v>
      </c>
      <c r="C161" s="6">
        <v>248.689</v>
      </c>
      <c r="D161" s="6">
        <v>283.637</v>
      </c>
      <c r="E161" s="6">
        <v>328.987</v>
      </c>
      <c r="F161" s="6">
        <v>377.578</v>
      </c>
    </row>
    <row r="162">
      <c r="A162" s="4">
        <v>46265.0</v>
      </c>
      <c r="B162" s="6">
        <v>1.39</v>
      </c>
      <c r="C162" s="6">
        <v>12.37</v>
      </c>
      <c r="D162" s="6">
        <v>148.531</v>
      </c>
      <c r="E162" s="6">
        <v>291.495</v>
      </c>
      <c r="F162" s="6">
        <v>326.236</v>
      </c>
    </row>
    <row r="163">
      <c r="A163" s="4">
        <v>46266.0</v>
      </c>
      <c r="B163" s="6">
        <v>77.769</v>
      </c>
      <c r="C163" s="6">
        <v>237.093</v>
      </c>
      <c r="D163" s="6">
        <v>288.205</v>
      </c>
      <c r="E163" s="6">
        <v>334.755</v>
      </c>
      <c r="F163" s="6">
        <v>422.734</v>
      </c>
    </row>
    <row r="164">
      <c r="A164" s="4">
        <v>46267.0</v>
      </c>
      <c r="B164" s="6">
        <v>93.445</v>
      </c>
      <c r="C164" s="6">
        <v>237.478</v>
      </c>
      <c r="D164" s="6">
        <v>285.525</v>
      </c>
      <c r="E164" s="6">
        <v>327.492</v>
      </c>
      <c r="F164" s="6">
        <v>441.857</v>
      </c>
    </row>
    <row r="165">
      <c r="A165" s="4">
        <v>46268.0</v>
      </c>
      <c r="B165" s="6">
        <v>188.969</v>
      </c>
      <c r="C165" s="6">
        <v>238.298</v>
      </c>
      <c r="D165" s="6">
        <v>288.804</v>
      </c>
      <c r="E165" s="6">
        <v>323.844</v>
      </c>
      <c r="F165" s="6">
        <v>402.67</v>
      </c>
    </row>
    <row r="166">
      <c r="A166" s="4">
        <v>46269.0</v>
      </c>
      <c r="B166" s="6">
        <v>193.635</v>
      </c>
      <c r="C166" s="6">
        <v>245.408</v>
      </c>
      <c r="D166" s="6">
        <v>285.784</v>
      </c>
      <c r="E166" s="6">
        <v>320.333</v>
      </c>
      <c r="F166" s="6">
        <v>385.861</v>
      </c>
    </row>
    <row r="167">
      <c r="A167" s="4">
        <v>46273.0</v>
      </c>
      <c r="B167" s="6">
        <v>43.393</v>
      </c>
      <c r="C167" s="6">
        <v>245.78</v>
      </c>
      <c r="D167" s="6">
        <v>288.234</v>
      </c>
      <c r="E167" s="6">
        <v>328.537</v>
      </c>
      <c r="F167" s="6">
        <v>375.473</v>
      </c>
    </row>
    <row r="168">
      <c r="A168" s="4">
        <v>46274.0</v>
      </c>
      <c r="B168" s="6">
        <v>189.965</v>
      </c>
      <c r="C168" s="6">
        <v>246.506</v>
      </c>
      <c r="D168" s="6">
        <v>286.259</v>
      </c>
      <c r="E168" s="6">
        <v>331.033</v>
      </c>
      <c r="F168" s="6">
        <v>451.662</v>
      </c>
    </row>
    <row r="169">
      <c r="A169" s="4">
        <v>46275.0</v>
      </c>
      <c r="B169" s="6">
        <v>175.067</v>
      </c>
      <c r="C169" s="6">
        <v>233.695</v>
      </c>
      <c r="D169" s="6">
        <v>282.726</v>
      </c>
      <c r="E169" s="6">
        <v>324.762</v>
      </c>
      <c r="F169" s="6">
        <v>476.425</v>
      </c>
    </row>
    <row r="170">
      <c r="A170" s="4">
        <v>46276.0</v>
      </c>
      <c r="B170" s="6">
        <v>57.694</v>
      </c>
      <c r="C170" s="6">
        <v>234.92</v>
      </c>
      <c r="D170" s="6">
        <v>289.84</v>
      </c>
      <c r="E170" s="6">
        <v>338.815</v>
      </c>
      <c r="F170" s="6">
        <v>507.951</v>
      </c>
    </row>
    <row r="171">
      <c r="A171" s="4">
        <v>46279.0</v>
      </c>
      <c r="B171" s="6">
        <v>115.946</v>
      </c>
      <c r="C171" s="6">
        <v>233.287</v>
      </c>
      <c r="D171" s="6">
        <v>281.4</v>
      </c>
      <c r="E171" s="6">
        <v>325.399</v>
      </c>
      <c r="F171" s="6">
        <v>390.333</v>
      </c>
    </row>
    <row r="172">
      <c r="A172" s="4">
        <v>46280.0</v>
      </c>
      <c r="B172" s="6">
        <v>165.099</v>
      </c>
      <c r="C172" s="6">
        <v>233.839</v>
      </c>
      <c r="D172" s="6">
        <v>283.356</v>
      </c>
      <c r="E172" s="6">
        <v>317.897</v>
      </c>
      <c r="F172" s="6">
        <v>404.178</v>
      </c>
    </row>
    <row r="173">
      <c r="A173" s="4">
        <v>46281.0</v>
      </c>
      <c r="B173" s="6">
        <v>184.343</v>
      </c>
      <c r="C173" s="6">
        <v>228.222</v>
      </c>
      <c r="D173" s="6">
        <v>283.925</v>
      </c>
      <c r="E173" s="6">
        <v>316.853</v>
      </c>
      <c r="F173" s="6">
        <v>413.406</v>
      </c>
    </row>
    <row r="174">
      <c r="A174" s="4">
        <v>46282.0</v>
      </c>
      <c r="B174" s="6">
        <v>74.374</v>
      </c>
      <c r="C174" s="6">
        <v>242.317</v>
      </c>
      <c r="D174" s="6">
        <v>284.731</v>
      </c>
      <c r="E174" s="6">
        <v>325.913</v>
      </c>
      <c r="F174" s="6">
        <v>355.357</v>
      </c>
    </row>
    <row r="175">
      <c r="A175" s="4">
        <v>46283.0</v>
      </c>
      <c r="B175" s="6">
        <v>198.651</v>
      </c>
      <c r="C175" s="6">
        <v>254.673</v>
      </c>
      <c r="D175" s="6">
        <v>285.944</v>
      </c>
      <c r="E175" s="6">
        <v>345.642</v>
      </c>
      <c r="F175" s="6">
        <v>433.158</v>
      </c>
    </row>
    <row r="176">
      <c r="A176" s="4">
        <v>46286.0</v>
      </c>
      <c r="B176" s="6">
        <v>163.775</v>
      </c>
      <c r="C176" s="6">
        <v>221.514</v>
      </c>
      <c r="D176" s="6">
        <v>282.323</v>
      </c>
      <c r="E176" s="6">
        <v>318.651</v>
      </c>
      <c r="F176" s="6">
        <v>405.357</v>
      </c>
    </row>
    <row r="177">
      <c r="A177" s="4">
        <v>46287.0</v>
      </c>
      <c r="B177" s="6">
        <v>158.877</v>
      </c>
      <c r="C177" s="6">
        <v>235.214</v>
      </c>
      <c r="D177" s="6">
        <v>288.535</v>
      </c>
      <c r="E177" s="6">
        <v>336.619</v>
      </c>
      <c r="F177" s="6">
        <v>437.281</v>
      </c>
    </row>
    <row r="178">
      <c r="A178" s="4">
        <v>46288.0</v>
      </c>
      <c r="B178" s="6">
        <v>176.169</v>
      </c>
      <c r="C178" s="6">
        <v>244.016</v>
      </c>
      <c r="D178" s="6">
        <v>288.536</v>
      </c>
      <c r="E178" s="6">
        <v>346.82</v>
      </c>
      <c r="F178" s="6">
        <v>426.486</v>
      </c>
    </row>
    <row r="179">
      <c r="A179" s="4">
        <v>46289.0</v>
      </c>
      <c r="B179" s="6">
        <v>41.18</v>
      </c>
      <c r="C179" s="6">
        <v>229.192</v>
      </c>
      <c r="D179" s="6">
        <v>284.963</v>
      </c>
      <c r="E179" s="6">
        <v>325.882</v>
      </c>
      <c r="F179" s="6">
        <v>476.673</v>
      </c>
    </row>
    <row r="180">
      <c r="A180" s="4">
        <v>46290.0</v>
      </c>
      <c r="B180" s="6">
        <v>179.162</v>
      </c>
      <c r="C180" s="6">
        <v>234.011</v>
      </c>
      <c r="D180" s="6">
        <v>282.742</v>
      </c>
      <c r="E180" s="6">
        <v>328.097</v>
      </c>
      <c r="F180" s="6">
        <v>411.207</v>
      </c>
    </row>
    <row r="181">
      <c r="A181" s="4">
        <v>46293.0</v>
      </c>
      <c r="B181" s="6">
        <v>136.901</v>
      </c>
      <c r="C181" s="6">
        <v>236.115</v>
      </c>
      <c r="D181" s="6">
        <v>279.83</v>
      </c>
      <c r="E181" s="6">
        <v>322.628</v>
      </c>
      <c r="F181" s="6">
        <v>452.835</v>
      </c>
    </row>
    <row r="182">
      <c r="A182" s="4">
        <v>46294.0</v>
      </c>
      <c r="B182" s="6">
        <v>177.031</v>
      </c>
      <c r="C182" s="6">
        <v>249.107</v>
      </c>
      <c r="D182" s="6">
        <v>285.696</v>
      </c>
      <c r="E182" s="6">
        <v>319.318</v>
      </c>
      <c r="F182" s="6">
        <v>351.024</v>
      </c>
    </row>
    <row r="183">
      <c r="A183" s="4">
        <v>46295.0</v>
      </c>
      <c r="B183" s="6">
        <v>108.053</v>
      </c>
      <c r="C183" s="6">
        <v>237.362</v>
      </c>
      <c r="D183" s="6">
        <v>283.558</v>
      </c>
      <c r="E183" s="6">
        <v>330.52</v>
      </c>
      <c r="F183" s="6">
        <v>504.261</v>
      </c>
    </row>
    <row r="184">
      <c r="A184" s="4">
        <v>46296.0</v>
      </c>
      <c r="B184" s="6">
        <v>164.528</v>
      </c>
      <c r="C184" s="6">
        <v>230.797</v>
      </c>
      <c r="D184" s="6">
        <v>284.114</v>
      </c>
      <c r="E184" s="6">
        <v>320.564</v>
      </c>
      <c r="F184" s="6">
        <v>391.637</v>
      </c>
      <c r="H184" s="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  <c r="F1" s="3" t="s">
        <v>5</v>
      </c>
      <c r="G1" s="1" t="s">
        <v>8</v>
      </c>
      <c r="H1" s="1" t="s">
        <v>9</v>
      </c>
      <c r="I1" s="1" t="s">
        <v>10</v>
      </c>
      <c r="J1" s="1" t="s">
        <v>11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46063.0</v>
      </c>
      <c r="B2" s="6">
        <v>475.655</v>
      </c>
      <c r="C2" s="6">
        <v>631.115</v>
      </c>
      <c r="D2" s="6">
        <v>689.643</v>
      </c>
      <c r="E2" s="6">
        <v>707.872</v>
      </c>
      <c r="F2" s="6">
        <v>748.249</v>
      </c>
      <c r="G2" s="10">
        <f>IFERROR(__xludf.DUMMYFUNCTION("IFERROR(INDEX(GOOGLEFINANCE(""SPY"", ""close"", A2), 2, 2), """")"),692.12)</f>
        <v>692.12</v>
      </c>
      <c r="H2" s="10" t="b">
        <f t="shared" ref="H2:H214" si="1">IF(OR(G2="", D2=""), "", G2 &gt;= D2)</f>
        <v>1</v>
      </c>
      <c r="I2" s="10" t="b">
        <f t="shared" ref="I2:I214" si="2">IF(OR(G2="", C2=""), "", G2 &gt;= C2)</f>
        <v>1</v>
      </c>
      <c r="J2" s="2" t="b">
        <f t="shared" ref="J2:J214" si="3">IF(OR(G2="", E2=""), "", G2 &gt;= E2)</f>
        <v>0</v>
      </c>
      <c r="L2" s="1"/>
      <c r="M2" s="7"/>
      <c r="N2" s="2"/>
      <c r="O2" s="7"/>
      <c r="P2" s="1"/>
      <c r="Q2" s="7"/>
      <c r="R2" s="7"/>
      <c r="S2" s="7"/>
      <c r="T2" s="7"/>
      <c r="U2" s="7"/>
      <c r="V2" s="7"/>
      <c r="W2" s="7"/>
      <c r="X2" s="7"/>
      <c r="Y2" s="7"/>
    </row>
    <row r="3">
      <c r="A3" s="4">
        <v>46064.0</v>
      </c>
      <c r="B3" s="6">
        <v>439.721</v>
      </c>
      <c r="C3" s="6">
        <v>659.693</v>
      </c>
      <c r="D3" s="6">
        <v>685.44</v>
      </c>
      <c r="E3" s="6">
        <v>699.333</v>
      </c>
      <c r="F3" s="6">
        <v>747.276</v>
      </c>
      <c r="G3" s="10">
        <f>IFERROR(__xludf.DUMMYFUNCTION("IFERROR(INDEX(GOOGLEFINANCE(""SPY"", ""close"", A3), 2, 2), """")"),691.96)</f>
        <v>691.96</v>
      </c>
      <c r="H3" s="10" t="b">
        <f t="shared" si="1"/>
        <v>1</v>
      </c>
      <c r="I3" s="10" t="b">
        <f t="shared" si="2"/>
        <v>1</v>
      </c>
      <c r="J3" s="2" t="b">
        <f t="shared" si="3"/>
        <v>0</v>
      </c>
      <c r="L3" s="1"/>
      <c r="M3" s="7"/>
      <c r="N3" s="2"/>
      <c r="O3" s="7"/>
      <c r="P3" s="1"/>
      <c r="Q3" s="7"/>
      <c r="R3" s="7"/>
      <c r="S3" s="7"/>
      <c r="T3" s="7"/>
      <c r="U3" s="7"/>
      <c r="V3" s="7"/>
      <c r="W3" s="7"/>
      <c r="X3" s="7"/>
      <c r="Y3" s="7"/>
    </row>
    <row r="4">
      <c r="A4" s="4">
        <v>46065.0</v>
      </c>
      <c r="B4" s="6">
        <v>566.897</v>
      </c>
      <c r="C4" s="6">
        <v>602.737</v>
      </c>
      <c r="D4" s="6">
        <v>695.211</v>
      </c>
      <c r="E4" s="6">
        <v>709.553</v>
      </c>
      <c r="F4" s="6">
        <v>727.72</v>
      </c>
      <c r="G4" s="10">
        <f>IFERROR(__xludf.DUMMYFUNCTION("IFERROR(INDEX(GOOGLEFINANCE(""SPY"", ""close"", A4), 2, 2), """")"),681.27)</f>
        <v>681.27</v>
      </c>
      <c r="H4" s="10" t="b">
        <f t="shared" si="1"/>
        <v>0</v>
      </c>
      <c r="I4" s="10" t="b">
        <f t="shared" si="2"/>
        <v>1</v>
      </c>
      <c r="J4" s="2" t="b">
        <f t="shared" si="3"/>
        <v>0</v>
      </c>
      <c r="L4" s="1"/>
      <c r="M4" s="7"/>
      <c r="N4" s="2"/>
      <c r="O4" s="7"/>
      <c r="P4" s="1"/>
      <c r="Q4" s="7"/>
      <c r="R4" s="7"/>
      <c r="S4" s="7"/>
      <c r="T4" s="7"/>
      <c r="U4" s="7"/>
      <c r="V4" s="7"/>
      <c r="W4" s="7"/>
      <c r="X4" s="7"/>
      <c r="Y4" s="7"/>
    </row>
    <row r="5">
      <c r="A5" s="4">
        <v>46066.0</v>
      </c>
      <c r="B5" s="6">
        <v>491.759</v>
      </c>
      <c r="C5" s="6">
        <v>628.644</v>
      </c>
      <c r="D5" s="6">
        <v>693.856</v>
      </c>
      <c r="E5" s="6">
        <v>722.366</v>
      </c>
      <c r="F5" s="6">
        <v>807.533</v>
      </c>
      <c r="G5" s="10">
        <f>IFERROR(__xludf.DUMMYFUNCTION("IFERROR(INDEX(GOOGLEFINANCE(""SPY"", ""close"", A5), 2, 2), """")"),681.75)</f>
        <v>681.75</v>
      </c>
      <c r="H5" s="10" t="b">
        <f t="shared" si="1"/>
        <v>0</v>
      </c>
      <c r="I5" s="10" t="b">
        <f t="shared" si="2"/>
        <v>1</v>
      </c>
      <c r="J5" s="2" t="b">
        <f t="shared" si="3"/>
        <v>0</v>
      </c>
      <c r="L5" s="1"/>
      <c r="M5" s="7"/>
      <c r="N5" s="2"/>
      <c r="O5" s="7"/>
    </row>
    <row r="6">
      <c r="A6" s="4">
        <v>46070.0</v>
      </c>
      <c r="B6" s="6">
        <v>505.321</v>
      </c>
      <c r="C6" s="6">
        <v>649.186</v>
      </c>
      <c r="D6" s="6">
        <v>693.376</v>
      </c>
      <c r="E6" s="6">
        <v>715.779</v>
      </c>
      <c r="F6" s="6">
        <v>742.78</v>
      </c>
      <c r="G6" s="10">
        <f>IFERROR(__xludf.DUMMYFUNCTION("IFERROR(INDEX(GOOGLEFINANCE(""SPY"", ""close"", A6), 2, 2), """")"),682.85)</f>
        <v>682.85</v>
      </c>
      <c r="H6" s="10" t="b">
        <f t="shared" si="1"/>
        <v>0</v>
      </c>
      <c r="I6" s="10" t="b">
        <f t="shared" si="2"/>
        <v>1</v>
      </c>
      <c r="J6" s="2" t="b">
        <f t="shared" si="3"/>
        <v>0</v>
      </c>
      <c r="N6" s="1"/>
      <c r="O6" s="1"/>
    </row>
    <row r="7">
      <c r="A7" s="4">
        <v>46071.0</v>
      </c>
      <c r="B7" s="6">
        <v>423.884</v>
      </c>
      <c r="C7" s="6">
        <v>661.598</v>
      </c>
      <c r="D7" s="6">
        <v>690.097</v>
      </c>
      <c r="E7" s="6">
        <v>710.267</v>
      </c>
      <c r="F7" s="6">
        <v>773.063</v>
      </c>
      <c r="G7" s="10">
        <f>IFERROR(__xludf.DUMMYFUNCTION("IFERROR(INDEX(GOOGLEFINANCE(""SPY"", ""close"", A7), 2, 2), """")"),686.29)</f>
        <v>686.29</v>
      </c>
      <c r="H7" s="10" t="b">
        <f t="shared" si="1"/>
        <v>0</v>
      </c>
      <c r="I7" s="10" t="b">
        <f t="shared" si="2"/>
        <v>1</v>
      </c>
      <c r="J7" s="2" t="b">
        <f t="shared" si="3"/>
        <v>0</v>
      </c>
    </row>
    <row r="8">
      <c r="A8" s="4">
        <v>46072.0</v>
      </c>
      <c r="B8" s="6">
        <v>476.316</v>
      </c>
      <c r="C8" s="6">
        <v>615.087</v>
      </c>
      <c r="D8" s="6">
        <v>692.854</v>
      </c>
      <c r="E8" s="6">
        <v>713.593</v>
      </c>
      <c r="F8" s="6">
        <v>750.716</v>
      </c>
      <c r="G8" s="10">
        <f>IFERROR(__xludf.DUMMYFUNCTION("IFERROR(INDEX(GOOGLEFINANCE(""SPY"", ""close"", A8), 2, 2), """")"),684.48)</f>
        <v>684.48</v>
      </c>
      <c r="H8" s="10" t="b">
        <f t="shared" si="1"/>
        <v>0</v>
      </c>
      <c r="I8" s="10" t="b">
        <f t="shared" si="2"/>
        <v>1</v>
      </c>
      <c r="J8" s="2" t="b">
        <f t="shared" si="3"/>
        <v>0</v>
      </c>
    </row>
    <row r="9">
      <c r="A9" s="4">
        <v>46073.0</v>
      </c>
      <c r="B9" s="6">
        <v>526.442</v>
      </c>
      <c r="C9" s="6">
        <v>670.842</v>
      </c>
      <c r="D9" s="6">
        <v>690.423</v>
      </c>
      <c r="E9" s="6">
        <v>707.656</v>
      </c>
      <c r="F9" s="6">
        <v>736.207</v>
      </c>
      <c r="G9" s="10">
        <f>IFERROR(__xludf.DUMMYFUNCTION("IFERROR(INDEX(GOOGLEFINANCE(""SPY"", ""close"", A9), 2, 2), """")"),689.43)</f>
        <v>689.43</v>
      </c>
      <c r="H9" s="10" t="b">
        <f t="shared" si="1"/>
        <v>0</v>
      </c>
      <c r="I9" s="10" t="b">
        <f t="shared" si="2"/>
        <v>1</v>
      </c>
      <c r="J9" s="2" t="b">
        <f t="shared" si="3"/>
        <v>0</v>
      </c>
    </row>
    <row r="10">
      <c r="A10" s="4">
        <v>46076.0</v>
      </c>
      <c r="B10" s="6">
        <v>463.521</v>
      </c>
      <c r="C10" s="6">
        <v>658.079</v>
      </c>
      <c r="D10" s="6">
        <v>698.988</v>
      </c>
      <c r="E10" s="6">
        <v>724.575</v>
      </c>
      <c r="F10" s="6">
        <v>767.567</v>
      </c>
      <c r="G10" s="10">
        <f>IFERROR(__xludf.DUMMYFUNCTION("IFERROR(INDEX(GOOGLEFINANCE(""SPY"", ""close"", A10), 2, 2), """")"),682.39)</f>
        <v>682.39</v>
      </c>
      <c r="H10" s="10" t="b">
        <f t="shared" si="1"/>
        <v>0</v>
      </c>
      <c r="I10" s="10" t="b">
        <f t="shared" si="2"/>
        <v>1</v>
      </c>
      <c r="J10" s="2" t="b">
        <f t="shared" si="3"/>
        <v>0</v>
      </c>
    </row>
    <row r="11">
      <c r="A11" s="4">
        <v>46077.0</v>
      </c>
      <c r="B11" s="6">
        <v>511.647</v>
      </c>
      <c r="C11" s="6">
        <v>631.698</v>
      </c>
      <c r="D11" s="6">
        <v>694.75</v>
      </c>
      <c r="E11" s="6">
        <v>718.098</v>
      </c>
      <c r="F11" s="6">
        <v>733.794</v>
      </c>
      <c r="G11" s="10">
        <f>IFERROR(__xludf.DUMMYFUNCTION("IFERROR(INDEX(GOOGLEFINANCE(""SPY"", ""close"", A11), 2, 2), """")"),687.35)</f>
        <v>687.35</v>
      </c>
      <c r="H11" s="10" t="b">
        <f t="shared" si="1"/>
        <v>0</v>
      </c>
      <c r="I11" s="10" t="b">
        <f t="shared" si="2"/>
        <v>1</v>
      </c>
      <c r="J11" s="2" t="b">
        <f t="shared" si="3"/>
        <v>0</v>
      </c>
    </row>
    <row r="12">
      <c r="A12" s="4">
        <v>46078.0</v>
      </c>
      <c r="B12" s="6">
        <v>326.538</v>
      </c>
      <c r="C12" s="6">
        <v>659.652</v>
      </c>
      <c r="D12" s="6">
        <v>687.663</v>
      </c>
      <c r="E12" s="6">
        <v>708.267</v>
      </c>
      <c r="F12" s="6">
        <v>731.957</v>
      </c>
      <c r="G12" s="10">
        <f>IFERROR(__xludf.DUMMYFUNCTION("IFERROR(INDEX(GOOGLEFINANCE(""SPY"", ""close"", A12), 2, 2), """")"),693.15)</f>
        <v>693.15</v>
      </c>
      <c r="H12" s="10" t="b">
        <f t="shared" si="1"/>
        <v>1</v>
      </c>
      <c r="I12" s="10" t="b">
        <f t="shared" si="2"/>
        <v>1</v>
      </c>
      <c r="J12" s="2" t="b">
        <f t="shared" si="3"/>
        <v>0</v>
      </c>
    </row>
    <row r="13">
      <c r="A13" s="4">
        <v>46079.0</v>
      </c>
      <c r="B13" s="6">
        <v>500.832</v>
      </c>
      <c r="C13" s="6">
        <v>618.578</v>
      </c>
      <c r="D13" s="6">
        <v>690.494</v>
      </c>
      <c r="E13" s="6">
        <v>713.143</v>
      </c>
      <c r="F13" s="6">
        <v>735.968</v>
      </c>
      <c r="G13" s="10">
        <f>IFERROR(__xludf.DUMMYFUNCTION("IFERROR(INDEX(GOOGLEFINANCE(""SPY"", ""close"", A13), 2, 2), """")"),689.3)</f>
        <v>689.3</v>
      </c>
      <c r="H13" s="10" t="b">
        <f t="shared" si="1"/>
        <v>0</v>
      </c>
      <c r="I13" s="10" t="b">
        <f t="shared" si="2"/>
        <v>1</v>
      </c>
      <c r="J13" s="2" t="b">
        <f t="shared" si="3"/>
        <v>0</v>
      </c>
    </row>
    <row r="14">
      <c r="A14" s="4">
        <v>46080.0</v>
      </c>
      <c r="B14" s="6">
        <v>475.389</v>
      </c>
      <c r="C14" s="6">
        <v>617.004</v>
      </c>
      <c r="D14" s="6">
        <v>694.448</v>
      </c>
      <c r="E14" s="6">
        <v>724.315</v>
      </c>
      <c r="F14" s="6">
        <v>754.733</v>
      </c>
      <c r="G14" s="10">
        <f>IFERROR(__xludf.DUMMYFUNCTION("IFERROR(INDEX(GOOGLEFINANCE(""SPY"", ""close"", A14), 2, 2), """")"),685.99)</f>
        <v>685.99</v>
      </c>
      <c r="H14" s="10" t="b">
        <f t="shared" si="1"/>
        <v>0</v>
      </c>
      <c r="I14" s="10" t="b">
        <f t="shared" si="2"/>
        <v>1</v>
      </c>
      <c r="J14" s="2" t="b">
        <f t="shared" si="3"/>
        <v>0</v>
      </c>
    </row>
    <row r="15">
      <c r="A15" s="4">
        <v>46083.0</v>
      </c>
      <c r="B15" s="6">
        <v>600.285</v>
      </c>
      <c r="C15" s="6">
        <v>628.441</v>
      </c>
      <c r="D15" s="6">
        <v>699.276</v>
      </c>
      <c r="E15" s="6">
        <v>724.46</v>
      </c>
      <c r="F15" s="6">
        <v>749.946</v>
      </c>
      <c r="G15" s="10">
        <f>IFERROR(__xludf.DUMMYFUNCTION("IFERROR(INDEX(GOOGLEFINANCE(""SPY"", ""close"", A15), 2, 2), """")"),686.38)</f>
        <v>686.38</v>
      </c>
      <c r="H15" s="10" t="b">
        <f t="shared" si="1"/>
        <v>0</v>
      </c>
      <c r="I15" s="10" t="b">
        <f t="shared" si="2"/>
        <v>1</v>
      </c>
      <c r="J15" s="2" t="b">
        <f t="shared" si="3"/>
        <v>0</v>
      </c>
    </row>
    <row r="16">
      <c r="A16" s="4">
        <v>46084.0</v>
      </c>
      <c r="B16" s="6">
        <v>470.841</v>
      </c>
      <c r="C16" s="6">
        <v>669.183</v>
      </c>
      <c r="D16" s="6">
        <v>694.582</v>
      </c>
      <c r="E16" s="6">
        <v>714.935</v>
      </c>
      <c r="F16" s="6">
        <v>729.246</v>
      </c>
      <c r="G16" s="10">
        <f>IFERROR(__xludf.DUMMYFUNCTION("IFERROR(INDEX(GOOGLEFINANCE(""SPY"", ""close"", A16), 2, 2), """")"),680.33)</f>
        <v>680.33</v>
      </c>
      <c r="H16" s="10" t="b">
        <f t="shared" si="1"/>
        <v>0</v>
      </c>
      <c r="I16" s="10" t="b">
        <f t="shared" si="2"/>
        <v>1</v>
      </c>
      <c r="J16" s="2" t="b">
        <f t="shared" si="3"/>
        <v>0</v>
      </c>
    </row>
    <row r="17">
      <c r="A17" s="4">
        <v>46085.0</v>
      </c>
      <c r="B17" s="6">
        <v>553.607</v>
      </c>
      <c r="C17" s="6">
        <v>662.163</v>
      </c>
      <c r="D17" s="6">
        <v>688.39</v>
      </c>
      <c r="E17" s="6">
        <v>709.909</v>
      </c>
      <c r="F17" s="6">
        <v>760.403</v>
      </c>
      <c r="G17" s="10">
        <f>IFERROR(__xludf.DUMMYFUNCTION("IFERROR(INDEX(GOOGLEFINANCE(""SPY"", ""close"", A17), 2, 2), """")"),685.13)</f>
        <v>685.13</v>
      </c>
      <c r="H17" s="10" t="b">
        <f t="shared" si="1"/>
        <v>0</v>
      </c>
      <c r="I17" s="10" t="b">
        <f t="shared" si="2"/>
        <v>1</v>
      </c>
      <c r="J17" s="2" t="b">
        <f t="shared" si="3"/>
        <v>0</v>
      </c>
      <c r="K17" s="1" t="s">
        <v>12</v>
      </c>
    </row>
    <row r="18">
      <c r="A18" s="4">
        <v>46086.0</v>
      </c>
      <c r="B18" s="6">
        <v>437.894</v>
      </c>
      <c r="C18" s="6">
        <v>675.828</v>
      </c>
      <c r="D18" s="6">
        <v>764.755</v>
      </c>
      <c r="E18" s="6">
        <v>819.124</v>
      </c>
      <c r="F18" s="6">
        <v>909.078</v>
      </c>
      <c r="G18" s="10">
        <f>IFERROR(__xludf.DUMMYFUNCTION("IFERROR(INDEX(GOOGLEFINANCE(""SPY"", ""close"", A18), 2, 2), """")"),681.31)</f>
        <v>681.31</v>
      </c>
      <c r="H18" s="10" t="b">
        <f t="shared" si="1"/>
        <v>0</v>
      </c>
      <c r="I18" s="10" t="b">
        <f t="shared" si="2"/>
        <v>1</v>
      </c>
      <c r="J18" s="2" t="b">
        <f t="shared" si="3"/>
        <v>0</v>
      </c>
      <c r="K18" s="10">
        <f>COUNTIF(H2:H993, TRUE)</f>
        <v>96</v>
      </c>
    </row>
    <row r="19">
      <c r="A19" s="4">
        <v>46087.0</v>
      </c>
      <c r="B19" s="6">
        <v>527.513</v>
      </c>
      <c r="C19" s="6">
        <v>654.689</v>
      </c>
      <c r="D19" s="6">
        <v>691.526</v>
      </c>
      <c r="E19" s="6">
        <v>707.797</v>
      </c>
      <c r="F19" s="6">
        <v>782.819</v>
      </c>
      <c r="G19" s="10">
        <f>IFERROR(__xludf.DUMMYFUNCTION("IFERROR(INDEX(GOOGLEFINANCE(""SPY"", ""close"", A19), 2, 2), """")"),672.38)</f>
        <v>672.38</v>
      </c>
      <c r="H19" s="10" t="b">
        <f t="shared" si="1"/>
        <v>0</v>
      </c>
      <c r="I19" s="10" t="b">
        <f t="shared" si="2"/>
        <v>1</v>
      </c>
      <c r="J19" s="2" t="b">
        <f t="shared" si="3"/>
        <v>0</v>
      </c>
      <c r="K19" s="10">
        <f>COUNTIF(H2:H993, FALSE)</f>
        <v>46</v>
      </c>
      <c r="L19" s="1" t="s">
        <v>13</v>
      </c>
    </row>
    <row r="20">
      <c r="A20" s="4">
        <v>46090.0</v>
      </c>
      <c r="B20" s="6">
        <v>347.349</v>
      </c>
      <c r="C20" s="6">
        <v>608.193</v>
      </c>
      <c r="D20" s="6">
        <v>695.143</v>
      </c>
      <c r="E20" s="6">
        <v>727.31</v>
      </c>
      <c r="F20" s="6">
        <v>801.53</v>
      </c>
      <c r="G20" s="10">
        <f>IFERROR(__xludf.DUMMYFUNCTION("IFERROR(INDEX(GOOGLEFINANCE(""SPY"", ""close"", A20), 2, 2), """")"),678.27)</f>
        <v>678.27</v>
      </c>
      <c r="H20" s="10" t="b">
        <f t="shared" si="1"/>
        <v>0</v>
      </c>
      <c r="I20" s="10" t="b">
        <f t="shared" si="2"/>
        <v>1</v>
      </c>
      <c r="J20" s="2" t="b">
        <f t="shared" si="3"/>
        <v>0</v>
      </c>
      <c r="K20" s="10">
        <f>K18+K19</f>
        <v>142</v>
      </c>
    </row>
    <row r="21">
      <c r="A21" s="4">
        <v>46091.0</v>
      </c>
      <c r="B21" s="6">
        <v>559.112</v>
      </c>
      <c r="C21" s="6">
        <v>658.791</v>
      </c>
      <c r="D21" s="6">
        <v>685.05</v>
      </c>
      <c r="E21" s="6">
        <v>712.214</v>
      </c>
      <c r="F21" s="6">
        <v>729.828</v>
      </c>
      <c r="G21" s="10">
        <f>IFERROR(__xludf.DUMMYFUNCTION("IFERROR(INDEX(GOOGLEFINANCE(""SPY"", ""close"", A21), 2, 2), """")"),677.18)</f>
        <v>677.18</v>
      </c>
      <c r="H21" s="10" t="b">
        <f t="shared" si="1"/>
        <v>0</v>
      </c>
      <c r="I21" s="10" t="b">
        <f t="shared" si="2"/>
        <v>1</v>
      </c>
      <c r="J21" s="2" t="b">
        <f t="shared" si="3"/>
        <v>0</v>
      </c>
    </row>
    <row r="22">
      <c r="A22" s="4">
        <v>46092.0</v>
      </c>
      <c r="B22" s="6">
        <v>640.853</v>
      </c>
      <c r="C22" s="6">
        <v>656.067</v>
      </c>
      <c r="D22" s="6">
        <v>682.901</v>
      </c>
      <c r="E22" s="6">
        <v>716.974</v>
      </c>
      <c r="F22" s="6">
        <v>740.744</v>
      </c>
      <c r="G22" s="10">
        <f>IFERROR(__xludf.DUMMYFUNCTION("IFERROR(INDEX(GOOGLEFINANCE(""SPY"", ""close"", A22), 2, 2), """")"),676.33)</f>
        <v>676.33</v>
      </c>
      <c r="H22" s="10" t="b">
        <f t="shared" si="1"/>
        <v>0</v>
      </c>
      <c r="I22" s="10" t="b">
        <f t="shared" si="2"/>
        <v>1</v>
      </c>
      <c r="J22" s="2" t="b">
        <f t="shared" si="3"/>
        <v>0</v>
      </c>
    </row>
    <row r="23">
      <c r="A23" s="4">
        <v>46093.0</v>
      </c>
      <c r="B23" s="6">
        <v>387.501</v>
      </c>
      <c r="C23" s="6">
        <v>657.509</v>
      </c>
      <c r="D23" s="6">
        <v>688.915</v>
      </c>
      <c r="E23" s="6">
        <v>706.234</v>
      </c>
      <c r="F23" s="6">
        <v>750.695</v>
      </c>
      <c r="G23" s="10">
        <f>IFERROR(__xludf.DUMMYFUNCTION("IFERROR(INDEX(GOOGLEFINANCE(""SPY"", ""close"", A23), 2, 2), """")"),666.06)</f>
        <v>666.06</v>
      </c>
      <c r="H23" s="10" t="b">
        <f t="shared" si="1"/>
        <v>0</v>
      </c>
      <c r="I23" s="10" t="b">
        <f t="shared" si="2"/>
        <v>1</v>
      </c>
      <c r="J23" s="2" t="b">
        <f t="shared" si="3"/>
        <v>0</v>
      </c>
      <c r="K23" s="10">
        <f>COUNTIF(I2:I993, FALSE)</f>
        <v>6</v>
      </c>
      <c r="L23" s="1" t="s">
        <v>14</v>
      </c>
    </row>
    <row r="24">
      <c r="A24" s="4">
        <v>46094.0</v>
      </c>
      <c r="B24" s="6">
        <v>480.632</v>
      </c>
      <c r="C24" s="6">
        <v>668.335</v>
      </c>
      <c r="D24" s="6">
        <v>691.847</v>
      </c>
      <c r="E24" s="6">
        <v>717.444</v>
      </c>
      <c r="F24" s="6">
        <v>797.258</v>
      </c>
      <c r="G24" s="10">
        <f>IFERROR(__xludf.DUMMYFUNCTION("IFERROR(INDEX(GOOGLEFINANCE(""SPY"", ""close"", A24), 2, 2), """")"),662.29)</f>
        <v>662.29</v>
      </c>
      <c r="H24" s="10" t="b">
        <f t="shared" si="1"/>
        <v>0</v>
      </c>
      <c r="I24" s="10" t="b">
        <f t="shared" si="2"/>
        <v>0</v>
      </c>
      <c r="J24" s="2" t="b">
        <f t="shared" si="3"/>
        <v>0</v>
      </c>
      <c r="K24" s="10">
        <f>COUNTIF(J2:J993, TRUE)</f>
        <v>28</v>
      </c>
      <c r="L24" s="1" t="s">
        <v>11</v>
      </c>
    </row>
    <row r="25">
      <c r="A25" s="4">
        <v>46097.0</v>
      </c>
      <c r="B25" s="6">
        <v>562.62</v>
      </c>
      <c r="C25" s="6">
        <v>643.116</v>
      </c>
      <c r="D25" s="6">
        <v>695.791</v>
      </c>
      <c r="E25" s="6">
        <v>722.762</v>
      </c>
      <c r="F25" s="6">
        <v>788.109</v>
      </c>
      <c r="G25" s="10">
        <f>IFERROR(__xludf.DUMMYFUNCTION("IFERROR(INDEX(GOOGLEFINANCE(""SPY"", ""close"", A25), 2, 2), """")"),669.03)</f>
        <v>669.03</v>
      </c>
      <c r="H25" s="10" t="b">
        <f t="shared" si="1"/>
        <v>0</v>
      </c>
      <c r="I25" s="10" t="b">
        <f t="shared" si="2"/>
        <v>1</v>
      </c>
      <c r="J25" s="2" t="b">
        <f t="shared" si="3"/>
        <v>0</v>
      </c>
    </row>
    <row r="26">
      <c r="A26" s="4">
        <v>46098.0</v>
      </c>
      <c r="B26" s="6">
        <v>609.642</v>
      </c>
      <c r="C26" s="6">
        <v>633.019</v>
      </c>
      <c r="D26" s="6">
        <v>690.286</v>
      </c>
      <c r="E26" s="6">
        <v>718.204</v>
      </c>
      <c r="F26" s="6">
        <v>788.692</v>
      </c>
      <c r="G26" s="10">
        <f>IFERROR(__xludf.DUMMYFUNCTION("IFERROR(INDEX(GOOGLEFINANCE(""SPY"", ""close"", A26), 2, 2), """")"),670.79)</f>
        <v>670.79</v>
      </c>
      <c r="H26" s="10" t="b">
        <f t="shared" si="1"/>
        <v>0</v>
      </c>
      <c r="I26" s="10" t="b">
        <f t="shared" si="2"/>
        <v>1</v>
      </c>
      <c r="J26" s="2" t="b">
        <f t="shared" si="3"/>
        <v>0</v>
      </c>
    </row>
    <row r="27">
      <c r="A27" s="4">
        <v>46099.0</v>
      </c>
      <c r="B27" s="6">
        <v>364.175</v>
      </c>
      <c r="C27" s="6">
        <v>648.309</v>
      </c>
      <c r="D27" s="6">
        <v>683.335</v>
      </c>
      <c r="E27" s="6">
        <v>700.563</v>
      </c>
      <c r="F27" s="6">
        <v>754.611</v>
      </c>
      <c r="G27" s="10">
        <f>IFERROR(__xludf.DUMMYFUNCTION("IFERROR(INDEX(GOOGLEFINANCE(""SPY"", ""close"", A27), 2, 2), """")"),661.43)</f>
        <v>661.43</v>
      </c>
      <c r="H27" s="10" t="b">
        <f t="shared" si="1"/>
        <v>0</v>
      </c>
      <c r="I27" s="10" t="b">
        <f t="shared" si="2"/>
        <v>1</v>
      </c>
      <c r="J27" s="2" t="b">
        <f t="shared" si="3"/>
        <v>0</v>
      </c>
    </row>
    <row r="28">
      <c r="A28" s="4">
        <v>46100.0</v>
      </c>
      <c r="B28" s="6">
        <v>484.25</v>
      </c>
      <c r="C28" s="6">
        <v>620.685</v>
      </c>
      <c r="D28" s="6">
        <v>684.032</v>
      </c>
      <c r="E28" s="6">
        <v>709.333</v>
      </c>
      <c r="F28" s="6">
        <v>732.7</v>
      </c>
      <c r="G28" s="10">
        <f>IFERROR(__xludf.DUMMYFUNCTION("IFERROR(INDEX(GOOGLEFINANCE(""SPY"", ""close"", A28), 2, 2), """")"),659.8)</f>
        <v>659.8</v>
      </c>
      <c r="H28" s="10" t="b">
        <f t="shared" si="1"/>
        <v>0</v>
      </c>
      <c r="I28" s="10" t="b">
        <f t="shared" si="2"/>
        <v>1</v>
      </c>
      <c r="J28" s="2" t="b">
        <f t="shared" si="3"/>
        <v>0</v>
      </c>
    </row>
    <row r="29">
      <c r="A29" s="4">
        <v>46101.0</v>
      </c>
      <c r="B29" s="6">
        <v>479.984</v>
      </c>
      <c r="C29" s="6">
        <v>662.384</v>
      </c>
      <c r="D29" s="6">
        <v>684.866</v>
      </c>
      <c r="E29" s="6">
        <v>708.833</v>
      </c>
      <c r="F29" s="6">
        <v>752.281</v>
      </c>
      <c r="G29" s="10">
        <f>IFERROR(__xludf.DUMMYFUNCTION("IFERROR(INDEX(GOOGLEFINANCE(""SPY"", ""close"", A29), 2, 2), """")"),648.57)</f>
        <v>648.57</v>
      </c>
      <c r="H29" s="10" t="b">
        <f t="shared" si="1"/>
        <v>0</v>
      </c>
      <c r="I29" s="10" t="b">
        <f t="shared" si="2"/>
        <v>0</v>
      </c>
      <c r="J29" s="2" t="b">
        <f t="shared" si="3"/>
        <v>0</v>
      </c>
    </row>
    <row r="30">
      <c r="A30" s="4">
        <v>46104.0</v>
      </c>
      <c r="B30" s="6">
        <v>607.118</v>
      </c>
      <c r="C30" s="6">
        <v>619.971</v>
      </c>
      <c r="D30" s="6">
        <v>696.521</v>
      </c>
      <c r="E30" s="6">
        <v>722.122</v>
      </c>
      <c r="F30" s="6">
        <v>746.793</v>
      </c>
      <c r="G30" s="10">
        <f>IFERROR(__xludf.DUMMYFUNCTION("IFERROR(INDEX(GOOGLEFINANCE(""SPY"", ""close"", A30), 2, 2), """")"),655.38)</f>
        <v>655.38</v>
      </c>
      <c r="H30" s="10" t="b">
        <f t="shared" si="1"/>
        <v>0</v>
      </c>
      <c r="I30" s="10" t="b">
        <f t="shared" si="2"/>
        <v>1</v>
      </c>
      <c r="J30" s="2" t="b">
        <f t="shared" si="3"/>
        <v>0</v>
      </c>
    </row>
    <row r="31">
      <c r="A31" s="4">
        <v>46105.0</v>
      </c>
      <c r="B31" s="6">
        <v>521.044</v>
      </c>
      <c r="C31" s="6">
        <v>641.977</v>
      </c>
      <c r="D31" s="6">
        <v>693.224</v>
      </c>
      <c r="E31" s="6">
        <v>719.648</v>
      </c>
      <c r="F31" s="6">
        <v>745.681</v>
      </c>
      <c r="G31" s="10">
        <f>IFERROR(__xludf.DUMMYFUNCTION("IFERROR(INDEX(GOOGLEFINANCE(""SPY"", ""close"", A31), 2, 2), """")"),653.18)</f>
        <v>653.18</v>
      </c>
      <c r="H31" s="10" t="b">
        <f t="shared" si="1"/>
        <v>0</v>
      </c>
      <c r="I31" s="10" t="b">
        <f t="shared" si="2"/>
        <v>1</v>
      </c>
      <c r="J31" s="2" t="b">
        <f t="shared" si="3"/>
        <v>0</v>
      </c>
    </row>
    <row r="32">
      <c r="A32" s="4">
        <v>46106.0</v>
      </c>
      <c r="B32" s="6">
        <v>388.385</v>
      </c>
      <c r="C32" s="6">
        <v>657.639</v>
      </c>
      <c r="D32" s="6">
        <v>683.098</v>
      </c>
      <c r="E32" s="6">
        <v>706.778</v>
      </c>
      <c r="F32" s="6">
        <v>750.325</v>
      </c>
      <c r="G32" s="10">
        <f>IFERROR(__xludf.DUMMYFUNCTION("IFERROR(INDEX(GOOGLEFINANCE(""SPY"", ""close"", A32), 2, 2), """")"),656.82)</f>
        <v>656.82</v>
      </c>
      <c r="H32" s="10" t="b">
        <f t="shared" si="1"/>
        <v>0</v>
      </c>
      <c r="I32" s="10" t="b">
        <f t="shared" si="2"/>
        <v>0</v>
      </c>
      <c r="J32" s="2" t="b">
        <f t="shared" si="3"/>
        <v>0</v>
      </c>
    </row>
    <row r="33">
      <c r="A33" s="4">
        <v>46107.0</v>
      </c>
      <c r="B33" s="6">
        <v>419.109</v>
      </c>
      <c r="C33" s="6">
        <v>647.489</v>
      </c>
      <c r="D33" s="6">
        <v>684.634</v>
      </c>
      <c r="E33" s="6">
        <v>711.097</v>
      </c>
      <c r="F33" s="6">
        <v>725.948</v>
      </c>
      <c r="G33" s="10">
        <f>IFERROR(__xludf.DUMMYFUNCTION("IFERROR(INDEX(GOOGLEFINANCE(""SPY"", ""close"", A33), 2, 2), """")"),645.09)</f>
        <v>645.09</v>
      </c>
      <c r="H33" s="10" t="b">
        <f t="shared" si="1"/>
        <v>0</v>
      </c>
      <c r="I33" s="10" t="b">
        <f t="shared" si="2"/>
        <v>0</v>
      </c>
      <c r="J33" s="2" t="b">
        <f t="shared" si="3"/>
        <v>0</v>
      </c>
    </row>
    <row r="34">
      <c r="A34" s="4">
        <v>46108.0</v>
      </c>
      <c r="B34" s="6">
        <v>408.286</v>
      </c>
      <c r="C34" s="6">
        <v>618.253</v>
      </c>
      <c r="D34" s="6">
        <v>672.938</v>
      </c>
      <c r="E34" s="6">
        <v>691.132</v>
      </c>
      <c r="F34" s="6">
        <v>748.426</v>
      </c>
      <c r="G34" s="10">
        <f>IFERROR(__xludf.DUMMYFUNCTION("IFERROR(INDEX(GOOGLEFINANCE(""SPY"", ""close"", A34), 2, 2), """")"),634.09)</f>
        <v>634.09</v>
      </c>
      <c r="H34" s="10" t="b">
        <f t="shared" si="1"/>
        <v>0</v>
      </c>
      <c r="I34" s="10" t="b">
        <f t="shared" si="2"/>
        <v>1</v>
      </c>
      <c r="J34" s="2" t="b">
        <f t="shared" si="3"/>
        <v>0</v>
      </c>
    </row>
    <row r="35">
      <c r="A35" s="4">
        <v>46111.0</v>
      </c>
      <c r="B35" s="6">
        <v>355.047</v>
      </c>
      <c r="C35" s="6">
        <v>581.555</v>
      </c>
      <c r="D35" s="6">
        <v>684.441</v>
      </c>
      <c r="E35" s="6">
        <v>707.585</v>
      </c>
      <c r="F35" s="6">
        <v>761.466</v>
      </c>
      <c r="G35" s="10">
        <f>IFERROR(__xludf.DUMMYFUNCTION("IFERROR(INDEX(GOOGLEFINANCE(""SPY"", ""close"", A35), 2, 2), """")"),631.97)</f>
        <v>631.97</v>
      </c>
      <c r="H35" s="10" t="b">
        <f t="shared" si="1"/>
        <v>0</v>
      </c>
      <c r="I35" s="10" t="b">
        <f t="shared" si="2"/>
        <v>1</v>
      </c>
      <c r="J35" s="2" t="b">
        <f t="shared" si="3"/>
        <v>0</v>
      </c>
    </row>
    <row r="36">
      <c r="A36" s="4">
        <v>46112.0</v>
      </c>
      <c r="B36" s="6">
        <v>474.368</v>
      </c>
      <c r="C36" s="6">
        <v>674.483</v>
      </c>
      <c r="D36" s="6">
        <v>686.632</v>
      </c>
      <c r="E36" s="6">
        <v>711.169</v>
      </c>
      <c r="F36" s="6">
        <v>860.193</v>
      </c>
      <c r="G36" s="10">
        <f>IFERROR(__xludf.DUMMYFUNCTION("IFERROR(INDEX(GOOGLEFINANCE(""SPY"", ""close"", A36), 2, 2), """")"),650.34)</f>
        <v>650.34</v>
      </c>
      <c r="H36" s="10" t="b">
        <f t="shared" si="1"/>
        <v>0</v>
      </c>
      <c r="I36" s="10" t="b">
        <f t="shared" si="2"/>
        <v>0</v>
      </c>
      <c r="J36" s="2" t="b">
        <f t="shared" si="3"/>
        <v>0</v>
      </c>
    </row>
    <row r="37">
      <c r="A37" s="4">
        <v>46113.0</v>
      </c>
      <c r="B37" s="6">
        <v>465.287</v>
      </c>
      <c r="C37" s="6">
        <v>646.637</v>
      </c>
      <c r="D37" s="6">
        <v>679.614</v>
      </c>
      <c r="E37" s="6">
        <v>705.47</v>
      </c>
      <c r="F37" s="6">
        <v>751.639</v>
      </c>
      <c r="G37" s="10">
        <f>IFERROR(__xludf.DUMMYFUNCTION("IFERROR(INDEX(GOOGLEFINANCE(""SPY"", ""close"", A37), 2, 2), """")"),655.24)</f>
        <v>655.24</v>
      </c>
      <c r="H37" s="10" t="b">
        <f t="shared" si="1"/>
        <v>0</v>
      </c>
      <c r="I37" s="10" t="b">
        <f t="shared" si="2"/>
        <v>1</v>
      </c>
      <c r="J37" s="2" t="b">
        <f t="shared" si="3"/>
        <v>0</v>
      </c>
    </row>
    <row r="38">
      <c r="A38" s="4">
        <v>46114.0</v>
      </c>
      <c r="B38" s="6">
        <v>428.595</v>
      </c>
      <c r="C38" s="6">
        <v>648.128</v>
      </c>
      <c r="D38" s="6">
        <v>684.635</v>
      </c>
      <c r="E38" s="6">
        <v>712.769</v>
      </c>
      <c r="F38" s="6">
        <v>747.476</v>
      </c>
      <c r="G38" s="10">
        <f>IFERROR(__xludf.DUMMYFUNCTION("IFERROR(INDEX(GOOGLEFINANCE(""SPY"", ""close"", A38), 2, 2), """")"),655.83)</f>
        <v>655.83</v>
      </c>
      <c r="H38" s="10" t="b">
        <f t="shared" si="1"/>
        <v>0</v>
      </c>
      <c r="I38" s="10" t="b">
        <f t="shared" si="2"/>
        <v>1</v>
      </c>
      <c r="J38" s="2" t="b">
        <f t="shared" si="3"/>
        <v>0</v>
      </c>
    </row>
    <row r="39">
      <c r="A39" s="4">
        <v>46118.0</v>
      </c>
      <c r="B39" s="6">
        <v>394.449</v>
      </c>
      <c r="C39" s="6">
        <v>576.936</v>
      </c>
      <c r="D39" s="6">
        <v>688.501</v>
      </c>
      <c r="E39" s="6">
        <v>723.245</v>
      </c>
      <c r="F39" s="6">
        <v>785.788</v>
      </c>
      <c r="G39" s="10">
        <f>IFERROR(__xludf.DUMMYFUNCTION("IFERROR(INDEX(GOOGLEFINANCE(""SPY"", ""close"", A39), 2, 2), """")"),658.93)</f>
        <v>658.93</v>
      </c>
      <c r="H39" s="10" t="b">
        <f t="shared" si="1"/>
        <v>0</v>
      </c>
      <c r="I39" s="10" t="b">
        <f t="shared" si="2"/>
        <v>1</v>
      </c>
      <c r="J39" s="2" t="b">
        <f t="shared" si="3"/>
        <v>0</v>
      </c>
    </row>
    <row r="40">
      <c r="A40" s="4">
        <v>46119.0</v>
      </c>
      <c r="B40" s="6">
        <v>537.024</v>
      </c>
      <c r="C40" s="6">
        <v>667.832</v>
      </c>
      <c r="D40" s="6">
        <v>687.114</v>
      </c>
      <c r="E40" s="6">
        <v>708.273</v>
      </c>
      <c r="F40" s="6">
        <v>740.349</v>
      </c>
      <c r="G40" s="10">
        <f>IFERROR(__xludf.DUMMYFUNCTION("IFERROR(INDEX(GOOGLEFINANCE(""SPY"", ""close"", A40), 2, 2), """")"),659.22)</f>
        <v>659.22</v>
      </c>
      <c r="H40" s="10" t="b">
        <f t="shared" si="1"/>
        <v>0</v>
      </c>
      <c r="I40" s="10" t="b">
        <f t="shared" si="2"/>
        <v>0</v>
      </c>
      <c r="J40" s="2" t="b">
        <f t="shared" si="3"/>
        <v>0</v>
      </c>
    </row>
    <row r="41">
      <c r="A41" s="4">
        <v>46120.0</v>
      </c>
      <c r="B41" s="6">
        <v>565.096</v>
      </c>
      <c r="C41" s="6">
        <v>661.486</v>
      </c>
      <c r="D41" s="6">
        <v>682.213</v>
      </c>
      <c r="E41" s="6">
        <v>713.016</v>
      </c>
      <c r="F41" s="6">
        <v>825.288</v>
      </c>
      <c r="G41" s="10">
        <f>IFERROR(__xludf.DUMMYFUNCTION("IFERROR(INDEX(GOOGLEFINANCE(""SPY"", ""close"", A41), 2, 2), """")"),676.01)</f>
        <v>676.01</v>
      </c>
      <c r="H41" s="10" t="b">
        <f t="shared" si="1"/>
        <v>0</v>
      </c>
      <c r="I41" s="10" t="b">
        <f t="shared" si="2"/>
        <v>1</v>
      </c>
      <c r="J41" s="2" t="b">
        <f t="shared" si="3"/>
        <v>0</v>
      </c>
    </row>
    <row r="42">
      <c r="A42" s="4">
        <v>46121.0</v>
      </c>
      <c r="B42" s="6">
        <v>455.669</v>
      </c>
      <c r="C42" s="6">
        <v>657.372</v>
      </c>
      <c r="D42" s="6">
        <v>680.608</v>
      </c>
      <c r="E42" s="6">
        <v>707.71</v>
      </c>
      <c r="F42" s="6">
        <v>748.044</v>
      </c>
      <c r="G42" s="10">
        <f>IFERROR(__xludf.DUMMYFUNCTION("IFERROR(INDEX(GOOGLEFINANCE(""SPY"", ""close"", A42), 2, 2), """")"),679.91)</f>
        <v>679.91</v>
      </c>
      <c r="H42" s="10" t="b">
        <f t="shared" si="1"/>
        <v>0</v>
      </c>
      <c r="I42" s="10" t="b">
        <f t="shared" si="2"/>
        <v>1</v>
      </c>
      <c r="J42" s="2" t="b">
        <f t="shared" si="3"/>
        <v>0</v>
      </c>
    </row>
    <row r="43">
      <c r="A43" s="4">
        <v>46122.0</v>
      </c>
      <c r="B43" s="6">
        <v>413.257</v>
      </c>
      <c r="C43" s="6">
        <v>658.648</v>
      </c>
      <c r="D43" s="6">
        <v>687.056</v>
      </c>
      <c r="E43" s="6">
        <v>704.783</v>
      </c>
      <c r="F43" s="6">
        <v>735.009</v>
      </c>
      <c r="G43" s="10">
        <f>IFERROR(__xludf.DUMMYFUNCTION("IFERROR(INDEX(GOOGLEFINANCE(""SPY"", ""close"", A43), 2, 2), """")"),679.46)</f>
        <v>679.46</v>
      </c>
      <c r="H43" s="10" t="b">
        <f t="shared" si="1"/>
        <v>0</v>
      </c>
      <c r="I43" s="10" t="b">
        <f t="shared" si="2"/>
        <v>1</v>
      </c>
      <c r="J43" s="2" t="b">
        <f t="shared" si="3"/>
        <v>0</v>
      </c>
    </row>
    <row r="44">
      <c r="A44" s="4">
        <v>46125.0</v>
      </c>
      <c r="B44" s="6">
        <v>388.495</v>
      </c>
      <c r="C44" s="6">
        <v>597.388</v>
      </c>
      <c r="D44" s="6">
        <v>676.412</v>
      </c>
      <c r="E44" s="6">
        <v>708.383</v>
      </c>
      <c r="F44" s="6">
        <v>773.89</v>
      </c>
      <c r="G44" s="10">
        <f>IFERROR(__xludf.DUMMYFUNCTION("IFERROR(INDEX(GOOGLEFINANCE(""SPY"", ""close"", A44), 2, 2), """")"),686.1)</f>
        <v>686.1</v>
      </c>
      <c r="H44" s="10" t="b">
        <f t="shared" si="1"/>
        <v>1</v>
      </c>
      <c r="I44" s="10" t="b">
        <f t="shared" si="2"/>
        <v>1</v>
      </c>
      <c r="J44" s="2" t="b">
        <f t="shared" si="3"/>
        <v>0</v>
      </c>
    </row>
    <row r="45">
      <c r="A45" s="4">
        <v>46126.0</v>
      </c>
      <c r="B45" s="6">
        <v>446.915</v>
      </c>
      <c r="C45" s="6">
        <v>664.563</v>
      </c>
      <c r="D45" s="6">
        <v>684.809</v>
      </c>
      <c r="E45" s="6">
        <v>708.759</v>
      </c>
      <c r="F45" s="6">
        <v>752.912</v>
      </c>
      <c r="G45" s="10">
        <f>IFERROR(__xludf.DUMMYFUNCTION("IFERROR(INDEX(GOOGLEFINANCE(""SPY"", ""close"", A45), 2, 2), """")"),694.46)</f>
        <v>694.46</v>
      </c>
      <c r="H45" s="10" t="b">
        <f t="shared" si="1"/>
        <v>1</v>
      </c>
      <c r="I45" s="10" t="b">
        <f t="shared" si="2"/>
        <v>1</v>
      </c>
      <c r="J45" s="2" t="b">
        <f t="shared" si="3"/>
        <v>0</v>
      </c>
    </row>
    <row r="46">
      <c r="A46" s="4">
        <v>46127.0</v>
      </c>
      <c r="B46" s="6">
        <v>371.029</v>
      </c>
      <c r="C46" s="6">
        <v>645.577</v>
      </c>
      <c r="D46" s="6">
        <v>679.004</v>
      </c>
      <c r="E46" s="6">
        <v>705.818</v>
      </c>
      <c r="F46" s="6">
        <v>749.296</v>
      </c>
      <c r="G46" s="10">
        <f>IFERROR(__xludf.DUMMYFUNCTION("IFERROR(INDEX(GOOGLEFINANCE(""SPY"", ""close"", A46), 2, 2), """")"),699.94)</f>
        <v>699.94</v>
      </c>
      <c r="H46" s="10" t="b">
        <f t="shared" si="1"/>
        <v>1</v>
      </c>
      <c r="I46" s="10" t="b">
        <f t="shared" si="2"/>
        <v>1</v>
      </c>
      <c r="J46" s="2" t="b">
        <f t="shared" si="3"/>
        <v>0</v>
      </c>
    </row>
    <row r="47">
      <c r="A47" s="4">
        <v>46128.0</v>
      </c>
      <c r="B47" s="6">
        <v>546.26</v>
      </c>
      <c r="C47" s="6">
        <v>604.156</v>
      </c>
      <c r="D47" s="6">
        <v>688.777</v>
      </c>
      <c r="E47" s="6">
        <v>712.769</v>
      </c>
      <c r="F47" s="6">
        <v>732.835</v>
      </c>
      <c r="G47" s="10">
        <f>IFERROR(__xludf.DUMMYFUNCTION("IFERROR(INDEX(GOOGLEFINANCE(""SPY"", ""close"", A47), 2, 2), """")"),701.66)</f>
        <v>701.66</v>
      </c>
      <c r="H47" s="10" t="b">
        <f t="shared" si="1"/>
        <v>1</v>
      </c>
      <c r="I47" s="10" t="b">
        <f t="shared" si="2"/>
        <v>1</v>
      </c>
      <c r="J47" s="2" t="b">
        <f t="shared" si="3"/>
        <v>0</v>
      </c>
    </row>
    <row r="48">
      <c r="A48" s="4">
        <v>46129.0</v>
      </c>
      <c r="B48" s="6">
        <v>480.683</v>
      </c>
      <c r="C48" s="6">
        <v>659.862</v>
      </c>
      <c r="D48" s="6">
        <v>684.256</v>
      </c>
      <c r="E48" s="6">
        <v>711.048</v>
      </c>
      <c r="F48" s="6">
        <v>725.162</v>
      </c>
      <c r="G48" s="10">
        <f>IFERROR(__xludf.DUMMYFUNCTION("IFERROR(INDEX(GOOGLEFINANCE(""SPY"", ""close"", A48), 2, 2), """")"),710.14)</f>
        <v>710.14</v>
      </c>
      <c r="H48" s="10" t="b">
        <f t="shared" si="1"/>
        <v>1</v>
      </c>
      <c r="I48" s="10" t="b">
        <f t="shared" si="2"/>
        <v>1</v>
      </c>
      <c r="J48" s="2" t="b">
        <f t="shared" si="3"/>
        <v>0</v>
      </c>
    </row>
    <row r="49">
      <c r="A49" s="4">
        <v>46132.0</v>
      </c>
      <c r="B49" s="6">
        <v>416.334</v>
      </c>
      <c r="C49" s="6">
        <v>609.501</v>
      </c>
      <c r="D49" s="6">
        <v>693.969</v>
      </c>
      <c r="E49" s="6">
        <v>715.865</v>
      </c>
      <c r="F49" s="6">
        <v>762.824</v>
      </c>
      <c r="G49" s="10">
        <f>IFERROR(__xludf.DUMMYFUNCTION("IFERROR(INDEX(GOOGLEFINANCE(""SPY"", ""close"", A49), 2, 2), """")"),708.72)</f>
        <v>708.72</v>
      </c>
      <c r="H49" s="10" t="b">
        <f t="shared" si="1"/>
        <v>1</v>
      </c>
      <c r="I49" s="10" t="b">
        <f t="shared" si="2"/>
        <v>1</v>
      </c>
      <c r="J49" s="2" t="b">
        <f t="shared" si="3"/>
        <v>0</v>
      </c>
    </row>
    <row r="50">
      <c r="A50" s="4">
        <v>46133.0</v>
      </c>
      <c r="B50" s="6">
        <v>500.379</v>
      </c>
      <c r="C50" s="6">
        <v>676.856</v>
      </c>
      <c r="D50" s="6">
        <v>693.293</v>
      </c>
      <c r="E50" s="6">
        <v>714.097</v>
      </c>
      <c r="F50" s="6">
        <v>746.347</v>
      </c>
      <c r="G50" s="10">
        <f>IFERROR(__xludf.DUMMYFUNCTION("IFERROR(INDEX(GOOGLEFINANCE(""SPY"", ""close"", A50), 2, 2), """")"),704.08)</f>
        <v>704.08</v>
      </c>
      <c r="H50" s="10" t="b">
        <f t="shared" si="1"/>
        <v>1</v>
      </c>
      <c r="I50" s="10" t="b">
        <f t="shared" si="2"/>
        <v>1</v>
      </c>
      <c r="J50" s="2" t="b">
        <f t="shared" si="3"/>
        <v>0</v>
      </c>
    </row>
    <row r="51">
      <c r="A51" s="4">
        <v>46134.0</v>
      </c>
      <c r="B51" s="6">
        <v>421.739</v>
      </c>
      <c r="C51" s="6">
        <v>650.108</v>
      </c>
      <c r="D51" s="6">
        <v>678.8</v>
      </c>
      <c r="E51" s="6">
        <v>697.161</v>
      </c>
      <c r="F51" s="6">
        <v>730.179</v>
      </c>
      <c r="G51" s="10">
        <f>IFERROR(__xludf.DUMMYFUNCTION("IFERROR(INDEX(GOOGLEFINANCE(""SPY"", ""close"", A51), 2, 2), """")"),711.21)</f>
        <v>711.21</v>
      </c>
      <c r="H51" s="10" t="b">
        <f t="shared" si="1"/>
        <v>1</v>
      </c>
      <c r="I51" s="10" t="b">
        <f t="shared" si="2"/>
        <v>1</v>
      </c>
      <c r="J51" s="2" t="b">
        <f t="shared" si="3"/>
        <v>1</v>
      </c>
    </row>
    <row r="52">
      <c r="A52" s="4">
        <v>46135.0</v>
      </c>
      <c r="B52" s="6">
        <v>407.981</v>
      </c>
      <c r="C52" s="6">
        <v>619.106</v>
      </c>
      <c r="D52" s="6">
        <v>693.389</v>
      </c>
      <c r="E52" s="6">
        <v>723.318</v>
      </c>
      <c r="F52" s="6">
        <v>744.864</v>
      </c>
      <c r="G52" s="10">
        <f>IFERROR(__xludf.DUMMYFUNCTION("IFERROR(INDEX(GOOGLEFINANCE(""SPY"", ""close"", A52), 2, 2), """")"),708.45)</f>
        <v>708.45</v>
      </c>
      <c r="H52" s="10" t="b">
        <f t="shared" si="1"/>
        <v>1</v>
      </c>
      <c r="I52" s="10" t="b">
        <f t="shared" si="2"/>
        <v>1</v>
      </c>
      <c r="J52" s="2" t="b">
        <f t="shared" si="3"/>
        <v>0</v>
      </c>
    </row>
    <row r="53">
      <c r="A53" s="4">
        <v>46136.0</v>
      </c>
      <c r="B53" s="6">
        <v>435.485</v>
      </c>
      <c r="C53" s="6">
        <v>613.015</v>
      </c>
      <c r="D53" s="6">
        <v>695.423</v>
      </c>
      <c r="E53" s="6">
        <v>715.018</v>
      </c>
      <c r="F53" s="6">
        <v>741.757</v>
      </c>
      <c r="G53" s="10">
        <f>IFERROR(__xludf.DUMMYFUNCTION("IFERROR(INDEX(GOOGLEFINANCE(""SPY"", ""close"", A53), 2, 2), """")"),713.94)</f>
        <v>713.94</v>
      </c>
      <c r="H53" s="10" t="b">
        <f t="shared" si="1"/>
        <v>1</v>
      </c>
      <c r="I53" s="10" t="b">
        <f t="shared" si="2"/>
        <v>1</v>
      </c>
      <c r="J53" s="2" t="b">
        <f t="shared" si="3"/>
        <v>0</v>
      </c>
    </row>
    <row r="54">
      <c r="A54" s="4">
        <v>46139.0</v>
      </c>
      <c r="B54" s="6">
        <v>275.091</v>
      </c>
      <c r="C54" s="6">
        <v>606.234</v>
      </c>
      <c r="D54" s="6">
        <v>695.551</v>
      </c>
      <c r="E54" s="6">
        <v>720.579</v>
      </c>
      <c r="F54" s="6">
        <v>779.885</v>
      </c>
      <c r="G54" s="10">
        <f>IFERROR(__xludf.DUMMYFUNCTION("IFERROR(INDEX(GOOGLEFINANCE(""SPY"", ""close"", A54), 2, 2), """")"),715.17)</f>
        <v>715.17</v>
      </c>
      <c r="H54" s="10" t="b">
        <f t="shared" si="1"/>
        <v>1</v>
      </c>
      <c r="I54" s="10" t="b">
        <f t="shared" si="2"/>
        <v>1</v>
      </c>
      <c r="J54" s="2" t="b">
        <f t="shared" si="3"/>
        <v>0</v>
      </c>
    </row>
    <row r="55">
      <c r="A55" s="4">
        <v>46140.0</v>
      </c>
      <c r="B55" s="6">
        <v>477.831</v>
      </c>
      <c r="C55" s="6">
        <v>668.272</v>
      </c>
      <c r="D55" s="6">
        <v>698.734</v>
      </c>
      <c r="E55" s="6">
        <v>725.693</v>
      </c>
      <c r="F55" s="6">
        <v>755.373</v>
      </c>
      <c r="G55" s="10">
        <f>IFERROR(__xludf.DUMMYFUNCTION("IFERROR(INDEX(GOOGLEFINANCE(""SPY"", ""close"", A55), 2, 2), """")"),711.69)</f>
        <v>711.69</v>
      </c>
      <c r="H55" s="10" t="b">
        <f t="shared" si="1"/>
        <v>1</v>
      </c>
      <c r="I55" s="10" t="b">
        <f t="shared" si="2"/>
        <v>1</v>
      </c>
      <c r="J55" s="2" t="b">
        <f t="shared" si="3"/>
        <v>0</v>
      </c>
    </row>
    <row r="56">
      <c r="A56" s="4">
        <v>46141.0</v>
      </c>
      <c r="B56" s="6">
        <v>462.952</v>
      </c>
      <c r="C56" s="6">
        <v>654.083</v>
      </c>
      <c r="D56" s="6">
        <v>689.197</v>
      </c>
      <c r="E56" s="6">
        <v>709.44</v>
      </c>
      <c r="F56" s="6">
        <v>753.309</v>
      </c>
      <c r="G56" s="10">
        <f>IFERROR(__xludf.DUMMYFUNCTION("IFERROR(INDEX(GOOGLEFINANCE(""SPY"", ""close"", A56), 2, 2), """")"),711.58)</f>
        <v>711.58</v>
      </c>
      <c r="H56" s="10" t="b">
        <f t="shared" si="1"/>
        <v>1</v>
      </c>
      <c r="I56" s="10" t="b">
        <f t="shared" si="2"/>
        <v>1</v>
      </c>
      <c r="J56" s="2" t="b">
        <f t="shared" si="3"/>
        <v>1</v>
      </c>
    </row>
    <row r="57">
      <c r="A57" s="4">
        <v>46142.0</v>
      </c>
      <c r="B57" s="6">
        <v>543.366</v>
      </c>
      <c r="C57" s="6">
        <v>600.361</v>
      </c>
      <c r="D57" s="6">
        <v>693.137</v>
      </c>
      <c r="E57" s="6">
        <v>717.795</v>
      </c>
      <c r="F57" s="6">
        <v>741.301</v>
      </c>
      <c r="G57" s="10">
        <f>IFERROR(__xludf.DUMMYFUNCTION("IFERROR(INDEX(GOOGLEFINANCE(""SPY"", ""close"", A57), 2, 2), """")"),718.66)</f>
        <v>718.66</v>
      </c>
      <c r="H57" s="10" t="b">
        <f t="shared" si="1"/>
        <v>1</v>
      </c>
      <c r="I57" s="10" t="b">
        <f t="shared" si="2"/>
        <v>1</v>
      </c>
      <c r="J57" s="2" t="b">
        <f t="shared" si="3"/>
        <v>1</v>
      </c>
    </row>
    <row r="58">
      <c r="A58" s="4">
        <v>46143.0</v>
      </c>
      <c r="B58" s="6">
        <v>378.182</v>
      </c>
      <c r="C58" s="6">
        <v>660.314</v>
      </c>
      <c r="D58" s="6">
        <v>694.121</v>
      </c>
      <c r="E58" s="6">
        <v>719.182</v>
      </c>
      <c r="F58" s="6">
        <v>756.794</v>
      </c>
      <c r="G58" s="10">
        <f>IFERROR(__xludf.DUMMYFUNCTION("IFERROR(INDEX(GOOGLEFINANCE(""SPY"", ""close"", A58), 2, 2), """")"),720.65)</f>
        <v>720.65</v>
      </c>
      <c r="H58" s="10" t="b">
        <f t="shared" si="1"/>
        <v>1</v>
      </c>
      <c r="I58" s="10" t="b">
        <f t="shared" si="2"/>
        <v>1</v>
      </c>
      <c r="J58" s="2" t="b">
        <f t="shared" si="3"/>
        <v>1</v>
      </c>
    </row>
    <row r="59">
      <c r="A59" s="4">
        <v>46146.0</v>
      </c>
      <c r="B59" s="6">
        <v>471.017</v>
      </c>
      <c r="C59" s="6">
        <v>652.344</v>
      </c>
      <c r="D59" s="6">
        <v>695.921</v>
      </c>
      <c r="E59" s="6">
        <v>727.233</v>
      </c>
      <c r="F59" s="6">
        <v>745.09</v>
      </c>
      <c r="G59" s="10">
        <f>IFERROR(__xludf.DUMMYFUNCTION("IFERROR(INDEX(GOOGLEFINANCE(""SPY"", ""close"", A59), 2, 2), """")"),718.01)</f>
        <v>718.01</v>
      </c>
      <c r="H59" s="10" t="b">
        <f t="shared" si="1"/>
        <v>1</v>
      </c>
      <c r="I59" s="10" t="b">
        <f t="shared" si="2"/>
        <v>1</v>
      </c>
      <c r="J59" s="2" t="b">
        <f t="shared" si="3"/>
        <v>0</v>
      </c>
    </row>
    <row r="60">
      <c r="A60" s="4">
        <v>46147.0</v>
      </c>
      <c r="B60" s="6">
        <v>566.702</v>
      </c>
      <c r="C60" s="6">
        <v>674.951</v>
      </c>
      <c r="D60" s="6">
        <v>701.032</v>
      </c>
      <c r="E60" s="6">
        <v>725.662</v>
      </c>
      <c r="F60" s="6">
        <v>791.343</v>
      </c>
      <c r="G60" s="10">
        <f>IFERROR(__xludf.DUMMYFUNCTION("IFERROR(INDEX(GOOGLEFINANCE(""SPY"", ""close"", A60), 2, 2), """")"),723.77)</f>
        <v>723.77</v>
      </c>
      <c r="H60" s="10" t="b">
        <f t="shared" si="1"/>
        <v>1</v>
      </c>
      <c r="I60" s="10" t="b">
        <f t="shared" si="2"/>
        <v>1</v>
      </c>
      <c r="J60" s="2" t="b">
        <f t="shared" si="3"/>
        <v>0</v>
      </c>
    </row>
    <row r="61">
      <c r="A61" s="4">
        <v>46148.0</v>
      </c>
      <c r="B61" s="6">
        <v>469.044</v>
      </c>
      <c r="C61" s="6">
        <v>667.26</v>
      </c>
      <c r="D61" s="6">
        <v>693.457</v>
      </c>
      <c r="E61" s="6">
        <v>712.395</v>
      </c>
      <c r="F61" s="6">
        <v>750.489</v>
      </c>
      <c r="G61" s="10">
        <f>IFERROR(__xludf.DUMMYFUNCTION("IFERROR(INDEX(GOOGLEFINANCE(""SPY"", ""close"", A61), 2, 2), """")"),733.83)</f>
        <v>733.83</v>
      </c>
      <c r="H61" s="10" t="b">
        <f t="shared" si="1"/>
        <v>1</v>
      </c>
      <c r="I61" s="10" t="b">
        <f t="shared" si="2"/>
        <v>1</v>
      </c>
      <c r="J61" s="2" t="b">
        <f t="shared" si="3"/>
        <v>1</v>
      </c>
    </row>
    <row r="62">
      <c r="A62" s="4">
        <v>46149.0</v>
      </c>
      <c r="B62" s="6">
        <v>340.291</v>
      </c>
      <c r="C62" s="6">
        <v>670.255</v>
      </c>
      <c r="D62" s="6">
        <v>697.001</v>
      </c>
      <c r="E62" s="6">
        <v>717.267</v>
      </c>
      <c r="F62" s="6">
        <v>761.24</v>
      </c>
      <c r="G62" s="10">
        <f>IFERROR(__xludf.DUMMYFUNCTION("IFERROR(INDEX(GOOGLEFINANCE(""SPY"", ""close"", A62), 2, 2), """")"),731.58)</f>
        <v>731.58</v>
      </c>
      <c r="H62" s="10" t="b">
        <f t="shared" si="1"/>
        <v>1</v>
      </c>
      <c r="I62" s="10" t="b">
        <f t="shared" si="2"/>
        <v>1</v>
      </c>
      <c r="J62" s="2" t="b">
        <f t="shared" si="3"/>
        <v>1</v>
      </c>
    </row>
    <row r="63">
      <c r="A63" s="4">
        <v>46150.0</v>
      </c>
      <c r="B63" s="6">
        <v>464.9</v>
      </c>
      <c r="C63" s="6">
        <v>626.827</v>
      </c>
      <c r="D63" s="6">
        <v>696.037</v>
      </c>
      <c r="E63" s="6">
        <v>723.816</v>
      </c>
      <c r="F63" s="6">
        <v>732.727</v>
      </c>
      <c r="G63" s="10">
        <f>IFERROR(__xludf.DUMMYFUNCTION("IFERROR(INDEX(GOOGLEFINANCE(""SPY"", ""close"", A63), 2, 2), """")"),737.62)</f>
        <v>737.62</v>
      </c>
      <c r="H63" s="10" t="b">
        <f t="shared" si="1"/>
        <v>1</v>
      </c>
      <c r="I63" s="10" t="b">
        <f t="shared" si="2"/>
        <v>1</v>
      </c>
      <c r="J63" s="2" t="b">
        <f t="shared" si="3"/>
        <v>1</v>
      </c>
    </row>
    <row r="64">
      <c r="A64" s="4">
        <v>46153.0</v>
      </c>
      <c r="B64" s="6">
        <v>415.906</v>
      </c>
      <c r="C64" s="6">
        <v>639.377</v>
      </c>
      <c r="D64" s="6">
        <v>703.427</v>
      </c>
      <c r="E64" s="6">
        <v>729.606</v>
      </c>
      <c r="F64" s="6">
        <v>789.598</v>
      </c>
      <c r="G64" s="10">
        <f>IFERROR(__xludf.DUMMYFUNCTION("IFERROR(INDEX(GOOGLEFINANCE(""SPY"", ""close"", A64), 2, 2), """")"),739.3)</f>
        <v>739.3</v>
      </c>
      <c r="H64" s="10" t="b">
        <f t="shared" si="1"/>
        <v>1</v>
      </c>
      <c r="I64" s="10" t="b">
        <f t="shared" si="2"/>
        <v>1</v>
      </c>
      <c r="J64" s="2" t="b">
        <f t="shared" si="3"/>
        <v>1</v>
      </c>
    </row>
    <row r="65">
      <c r="A65" s="4">
        <v>46154.0</v>
      </c>
      <c r="B65" s="6">
        <v>626.609</v>
      </c>
      <c r="C65" s="6">
        <v>688.582</v>
      </c>
      <c r="D65" s="6">
        <v>707.85</v>
      </c>
      <c r="E65" s="6">
        <v>730.251</v>
      </c>
      <c r="F65" s="6">
        <v>760.775</v>
      </c>
      <c r="G65" s="10">
        <f>IFERROR(__xludf.DUMMYFUNCTION("IFERROR(INDEX(GOOGLEFINANCE(""SPY"", ""close"", A65), 2, 2), """")"),738.18)</f>
        <v>738.18</v>
      </c>
      <c r="H65" s="10" t="b">
        <f t="shared" si="1"/>
        <v>1</v>
      </c>
      <c r="I65" s="10" t="b">
        <f t="shared" si="2"/>
        <v>1</v>
      </c>
      <c r="J65" s="2" t="b">
        <f t="shared" si="3"/>
        <v>1</v>
      </c>
    </row>
    <row r="66">
      <c r="A66" s="4">
        <v>46155.0</v>
      </c>
      <c r="B66" s="6">
        <v>508.211</v>
      </c>
      <c r="C66" s="6">
        <v>633.739</v>
      </c>
      <c r="D66" s="6">
        <v>701.391</v>
      </c>
      <c r="E66" s="6">
        <v>724.58</v>
      </c>
      <c r="F66" s="6">
        <v>799.091</v>
      </c>
      <c r="G66" s="10">
        <f>IFERROR(__xludf.DUMMYFUNCTION("IFERROR(INDEX(GOOGLEFINANCE(""SPY"", ""close"", A66), 2, 2), """")"),742.31)</f>
        <v>742.31</v>
      </c>
      <c r="H66" s="10" t="b">
        <f t="shared" si="1"/>
        <v>1</v>
      </c>
      <c r="I66" s="10" t="b">
        <f t="shared" si="2"/>
        <v>1</v>
      </c>
      <c r="J66" s="2" t="b">
        <f t="shared" si="3"/>
        <v>1</v>
      </c>
    </row>
    <row r="67">
      <c r="A67" s="4">
        <v>46156.0</v>
      </c>
      <c r="B67" s="6">
        <v>505.629</v>
      </c>
      <c r="C67" s="6">
        <v>581.846</v>
      </c>
      <c r="D67" s="6">
        <v>703.65</v>
      </c>
      <c r="E67" s="6">
        <v>728.577</v>
      </c>
      <c r="F67" s="6">
        <v>842.345</v>
      </c>
      <c r="G67" s="10">
        <f>IFERROR(__xludf.DUMMYFUNCTION("IFERROR(INDEX(GOOGLEFINANCE(""SPY"", ""close"", A67), 2, 2), """")"),748.17)</f>
        <v>748.17</v>
      </c>
      <c r="H67" s="10" t="b">
        <f t="shared" si="1"/>
        <v>1</v>
      </c>
      <c r="I67" s="10" t="b">
        <f t="shared" si="2"/>
        <v>1</v>
      </c>
      <c r="J67" s="2" t="b">
        <f t="shared" si="3"/>
        <v>1</v>
      </c>
    </row>
    <row r="68">
      <c r="A68" s="4">
        <v>46157.0</v>
      </c>
      <c r="B68" s="6">
        <v>461.839</v>
      </c>
      <c r="C68" s="6">
        <v>624.546</v>
      </c>
      <c r="D68" s="6">
        <v>703.934</v>
      </c>
      <c r="E68" s="6">
        <v>723.471</v>
      </c>
      <c r="F68" s="6">
        <v>749.33</v>
      </c>
      <c r="G68" s="10">
        <f>IFERROR(__xludf.DUMMYFUNCTION("IFERROR(INDEX(GOOGLEFINANCE(""SPY"", ""close"", A68), 2, 2), """")"),739.17)</f>
        <v>739.17</v>
      </c>
      <c r="H68" s="10" t="b">
        <f t="shared" si="1"/>
        <v>1</v>
      </c>
      <c r="I68" s="10" t="b">
        <f t="shared" si="2"/>
        <v>1</v>
      </c>
      <c r="J68" s="2" t="b">
        <f t="shared" si="3"/>
        <v>1</v>
      </c>
    </row>
    <row r="69">
      <c r="A69" s="4">
        <v>46160.0</v>
      </c>
      <c r="B69" s="6">
        <v>426.372</v>
      </c>
      <c r="C69" s="6">
        <v>670.091</v>
      </c>
      <c r="D69" s="6">
        <v>714.396</v>
      </c>
      <c r="E69" s="6">
        <v>740.139</v>
      </c>
      <c r="F69" s="6">
        <v>816.812</v>
      </c>
      <c r="G69" s="10">
        <f>IFERROR(__xludf.DUMMYFUNCTION("IFERROR(INDEX(GOOGLEFINANCE(""SPY"", ""close"", A69), 2, 2), """")"),738.65)</f>
        <v>738.65</v>
      </c>
      <c r="H69" s="10" t="b">
        <f t="shared" si="1"/>
        <v>1</v>
      </c>
      <c r="I69" s="10" t="b">
        <f t="shared" si="2"/>
        <v>1</v>
      </c>
      <c r="J69" s="2" t="b">
        <f t="shared" si="3"/>
        <v>0</v>
      </c>
    </row>
    <row r="70">
      <c r="A70" s="4">
        <v>46161.0</v>
      </c>
      <c r="B70" s="6">
        <v>516.778</v>
      </c>
      <c r="C70" s="6">
        <v>654.817</v>
      </c>
      <c r="D70" s="6">
        <v>710.608</v>
      </c>
      <c r="E70" s="6">
        <v>739.365</v>
      </c>
      <c r="F70" s="6">
        <v>753.034</v>
      </c>
      <c r="G70" s="10">
        <f>IFERROR(__xludf.DUMMYFUNCTION("IFERROR(INDEX(GOOGLEFINANCE(""SPY"", ""close"", A70), 2, 2), """")"),733.73)</f>
        <v>733.73</v>
      </c>
      <c r="H70" s="10" t="b">
        <f t="shared" si="1"/>
        <v>1</v>
      </c>
      <c r="I70" s="10" t="b">
        <f t="shared" si="2"/>
        <v>1</v>
      </c>
      <c r="J70" s="2" t="b">
        <f t="shared" si="3"/>
        <v>0</v>
      </c>
    </row>
    <row r="71">
      <c r="A71" s="4">
        <v>46162.0</v>
      </c>
      <c r="B71" s="6">
        <v>458.859</v>
      </c>
      <c r="C71" s="6">
        <v>680.585</v>
      </c>
      <c r="D71" s="6">
        <v>702.748</v>
      </c>
      <c r="E71" s="6">
        <v>723.212</v>
      </c>
      <c r="F71" s="6">
        <v>767.455</v>
      </c>
      <c r="G71" s="10">
        <f>IFERROR(__xludf.DUMMYFUNCTION("IFERROR(INDEX(GOOGLEFINANCE(""SPY"", ""close"", A71), 2, 2), """")"),741.25)</f>
        <v>741.25</v>
      </c>
      <c r="H71" s="10" t="b">
        <f t="shared" si="1"/>
        <v>1</v>
      </c>
      <c r="I71" s="10" t="b">
        <f t="shared" si="2"/>
        <v>1</v>
      </c>
      <c r="J71" s="2" t="b">
        <f t="shared" si="3"/>
        <v>1</v>
      </c>
    </row>
    <row r="72">
      <c r="A72" s="4">
        <v>46163.0</v>
      </c>
      <c r="B72" s="6">
        <v>492.449</v>
      </c>
      <c r="C72" s="6">
        <v>594.128</v>
      </c>
      <c r="D72" s="6">
        <v>713.773</v>
      </c>
      <c r="E72" s="6">
        <v>734.717</v>
      </c>
      <c r="F72" s="6">
        <v>784.954</v>
      </c>
      <c r="G72" s="10">
        <f>IFERROR(__xludf.DUMMYFUNCTION("IFERROR(INDEX(GOOGLEFINANCE(""SPY"", ""close"", A72), 2, 2), """")"),742.72)</f>
        <v>742.72</v>
      </c>
      <c r="H72" s="10" t="b">
        <f t="shared" si="1"/>
        <v>1</v>
      </c>
      <c r="I72" s="10" t="b">
        <f t="shared" si="2"/>
        <v>1</v>
      </c>
      <c r="J72" s="2" t="b">
        <f t="shared" si="3"/>
        <v>1</v>
      </c>
    </row>
    <row r="73">
      <c r="A73" s="4">
        <v>46164.0</v>
      </c>
      <c r="B73" s="6">
        <v>420.726</v>
      </c>
      <c r="C73" s="6">
        <v>679.835</v>
      </c>
      <c r="D73" s="6">
        <v>710.442</v>
      </c>
      <c r="E73" s="6">
        <v>734.456</v>
      </c>
      <c r="F73" s="6">
        <v>775.602</v>
      </c>
      <c r="G73" s="10">
        <f>IFERROR(__xludf.DUMMYFUNCTION("IFERROR(INDEX(GOOGLEFINANCE(""SPY"", ""close"", A73), 2, 2), """")"),745.64)</f>
        <v>745.64</v>
      </c>
      <c r="H73" s="10" t="b">
        <f t="shared" si="1"/>
        <v>1</v>
      </c>
      <c r="I73" s="10" t="b">
        <f t="shared" si="2"/>
        <v>1</v>
      </c>
      <c r="J73" s="2" t="b">
        <f t="shared" si="3"/>
        <v>1</v>
      </c>
    </row>
    <row r="74">
      <c r="A74" s="4">
        <v>46168.0</v>
      </c>
      <c r="B74" s="6">
        <v>485.819</v>
      </c>
      <c r="C74" s="6">
        <v>685.329</v>
      </c>
      <c r="D74" s="6">
        <v>708.773</v>
      </c>
      <c r="E74" s="6">
        <v>730.45</v>
      </c>
      <c r="F74" s="6">
        <v>779.463</v>
      </c>
      <c r="G74" s="10">
        <f>IFERROR(__xludf.DUMMYFUNCTION("IFERROR(INDEX(GOOGLEFINANCE(""SPY"", ""close"", A74), 2, 2), """")"),750.59)</f>
        <v>750.59</v>
      </c>
      <c r="H74" s="10" t="b">
        <f t="shared" si="1"/>
        <v>1</v>
      </c>
      <c r="I74" s="10" t="b">
        <f t="shared" si="2"/>
        <v>1</v>
      </c>
      <c r="J74" s="2" t="b">
        <f t="shared" si="3"/>
        <v>1</v>
      </c>
    </row>
    <row r="75">
      <c r="A75" s="4">
        <v>46169.0</v>
      </c>
      <c r="B75" s="6">
        <v>416.626</v>
      </c>
      <c r="C75" s="6">
        <v>689.673</v>
      </c>
      <c r="D75" s="6">
        <v>709.116</v>
      </c>
      <c r="E75" s="6">
        <v>732.986</v>
      </c>
      <c r="F75" s="6">
        <v>794.917</v>
      </c>
      <c r="G75" s="10">
        <f>IFERROR(__xludf.DUMMYFUNCTION("IFERROR(INDEX(GOOGLEFINANCE(""SPY"", ""close"", A75), 2, 2), """")"),750.46)</f>
        <v>750.46</v>
      </c>
      <c r="H75" s="10" t="b">
        <f t="shared" si="1"/>
        <v>1</v>
      </c>
      <c r="I75" s="10" t="b">
        <f t="shared" si="2"/>
        <v>1</v>
      </c>
      <c r="J75" s="2" t="b">
        <f t="shared" si="3"/>
        <v>1</v>
      </c>
    </row>
    <row r="76">
      <c r="A76" s="4">
        <v>46170.0</v>
      </c>
      <c r="B76" s="6">
        <v>445.986</v>
      </c>
      <c r="C76" s="6">
        <v>630.736</v>
      </c>
      <c r="D76" s="6">
        <v>716.744</v>
      </c>
      <c r="E76" s="6">
        <v>740.553</v>
      </c>
      <c r="F76" s="6">
        <v>761.505</v>
      </c>
      <c r="G76" s="10">
        <f>IFERROR(__xludf.DUMMYFUNCTION("IFERROR(INDEX(GOOGLEFINANCE(""SPY"", ""close"", A76), 2, 2), """")"),754.6)</f>
        <v>754.6</v>
      </c>
      <c r="H76" s="10" t="b">
        <f t="shared" si="1"/>
        <v>1</v>
      </c>
      <c r="I76" s="10" t="b">
        <f t="shared" si="2"/>
        <v>1</v>
      </c>
      <c r="J76" s="2" t="b">
        <f t="shared" si="3"/>
        <v>1</v>
      </c>
    </row>
    <row r="77">
      <c r="A77" s="4">
        <v>46171.0</v>
      </c>
      <c r="B77" s="6">
        <v>448.878</v>
      </c>
      <c r="C77" s="6">
        <v>672.19</v>
      </c>
      <c r="D77" s="6">
        <v>714.232</v>
      </c>
      <c r="E77" s="6">
        <v>734.164</v>
      </c>
      <c r="F77" s="6">
        <v>753.307</v>
      </c>
      <c r="G77" s="10">
        <f>IFERROR(__xludf.DUMMYFUNCTION("IFERROR(INDEX(GOOGLEFINANCE(""SPY"", ""close"", A77), 2, 2), """")"),756.48)</f>
        <v>756.48</v>
      </c>
      <c r="H77" s="10" t="b">
        <f t="shared" si="1"/>
        <v>1</v>
      </c>
      <c r="I77" s="10" t="b">
        <f t="shared" si="2"/>
        <v>1</v>
      </c>
      <c r="J77" s="2" t="b">
        <f t="shared" si="3"/>
        <v>1</v>
      </c>
    </row>
    <row r="78">
      <c r="A78" s="4">
        <v>46174.0</v>
      </c>
      <c r="B78" s="6">
        <v>364.506</v>
      </c>
      <c r="C78" s="6">
        <v>654.47</v>
      </c>
      <c r="D78" s="6">
        <v>722.324</v>
      </c>
      <c r="E78" s="6">
        <v>752.166</v>
      </c>
      <c r="F78" s="6">
        <v>817.853</v>
      </c>
      <c r="G78" s="10">
        <f>IFERROR(__xludf.DUMMYFUNCTION("IFERROR(INDEX(GOOGLEFINANCE(""SPY"", ""close"", A78), 2, 2), """")"),758.54)</f>
        <v>758.54</v>
      </c>
      <c r="H78" s="10" t="b">
        <f t="shared" si="1"/>
        <v>1</v>
      </c>
      <c r="I78" s="10" t="b">
        <f t="shared" si="2"/>
        <v>1</v>
      </c>
      <c r="J78" s="2" t="b">
        <f t="shared" si="3"/>
        <v>1</v>
      </c>
    </row>
    <row r="79">
      <c r="A79" s="4">
        <v>46175.0</v>
      </c>
      <c r="B79" s="6">
        <v>417.712</v>
      </c>
      <c r="C79" s="6">
        <v>686.913</v>
      </c>
      <c r="D79" s="6">
        <v>718.376</v>
      </c>
      <c r="E79" s="6">
        <v>741.012</v>
      </c>
      <c r="F79" s="6">
        <v>785.339</v>
      </c>
      <c r="G79" s="10">
        <f>IFERROR(__xludf.DUMMYFUNCTION("IFERROR(INDEX(GOOGLEFINANCE(""SPY"", ""close"", A79), 2, 2), """")"),759.57)</f>
        <v>759.57</v>
      </c>
      <c r="H79" s="10" t="b">
        <f t="shared" si="1"/>
        <v>1</v>
      </c>
      <c r="I79" s="10" t="b">
        <f t="shared" si="2"/>
        <v>1</v>
      </c>
      <c r="J79" s="2" t="b">
        <f t="shared" si="3"/>
        <v>1</v>
      </c>
    </row>
    <row r="80">
      <c r="A80" s="4">
        <v>46176.0</v>
      </c>
      <c r="B80" s="6">
        <v>492.884</v>
      </c>
      <c r="C80" s="6">
        <v>675.651</v>
      </c>
      <c r="D80" s="6">
        <v>716.607</v>
      </c>
      <c r="E80" s="6">
        <v>747.669</v>
      </c>
      <c r="F80" s="6">
        <v>768.255</v>
      </c>
      <c r="G80" s="10">
        <f>IFERROR(__xludf.DUMMYFUNCTION("IFERROR(INDEX(GOOGLEFINANCE(""SPY"", ""close"", A80), 2, 2), """")"),754.24)</f>
        <v>754.24</v>
      </c>
      <c r="H80" s="10" t="b">
        <f t="shared" si="1"/>
        <v>1</v>
      </c>
      <c r="I80" s="10" t="b">
        <f t="shared" si="2"/>
        <v>1</v>
      </c>
      <c r="J80" s="2" t="b">
        <f t="shared" si="3"/>
        <v>1</v>
      </c>
    </row>
    <row r="81">
      <c r="A81" s="4">
        <v>46177.0</v>
      </c>
      <c r="B81" s="6">
        <v>479.023</v>
      </c>
      <c r="C81" s="6">
        <v>684.525</v>
      </c>
      <c r="D81" s="6">
        <v>718.954</v>
      </c>
      <c r="E81" s="6">
        <v>741.201</v>
      </c>
      <c r="F81" s="6">
        <v>781.152</v>
      </c>
      <c r="G81" s="10">
        <f>IFERROR(__xludf.DUMMYFUNCTION("IFERROR(INDEX(GOOGLEFINANCE(""SPY"", ""close"", A81), 2, 2), """")"),757.09)</f>
        <v>757.09</v>
      </c>
      <c r="H81" s="10" t="b">
        <f t="shared" si="1"/>
        <v>1</v>
      </c>
      <c r="I81" s="10" t="b">
        <f t="shared" si="2"/>
        <v>1</v>
      </c>
      <c r="J81" s="2" t="b">
        <f t="shared" si="3"/>
        <v>1</v>
      </c>
    </row>
    <row r="82">
      <c r="A82" s="4">
        <v>46178.0</v>
      </c>
      <c r="B82" s="6">
        <v>432.394</v>
      </c>
      <c r="C82" s="6">
        <v>678.409</v>
      </c>
      <c r="D82" s="6">
        <v>711.143</v>
      </c>
      <c r="E82" s="6">
        <v>739.105</v>
      </c>
      <c r="F82" s="6">
        <v>794.262</v>
      </c>
      <c r="G82" s="10">
        <f>IFERROR(__xludf.DUMMYFUNCTION("IFERROR(INDEX(GOOGLEFINANCE(""SPY"", ""close"", A82), 2, 2), """")"),737.55)</f>
        <v>737.55</v>
      </c>
      <c r="H82" s="10" t="b">
        <f t="shared" si="1"/>
        <v>1</v>
      </c>
      <c r="I82" s="10" t="b">
        <f t="shared" si="2"/>
        <v>1</v>
      </c>
      <c r="J82" s="2" t="b">
        <f t="shared" si="3"/>
        <v>0</v>
      </c>
    </row>
    <row r="83">
      <c r="A83" s="4">
        <v>46181.0</v>
      </c>
      <c r="B83" s="6">
        <v>449.751</v>
      </c>
      <c r="C83" s="6">
        <v>672.302</v>
      </c>
      <c r="D83" s="6">
        <v>721.918</v>
      </c>
      <c r="E83" s="6">
        <v>747.051</v>
      </c>
      <c r="F83" s="6">
        <v>847.987</v>
      </c>
      <c r="G83" s="10">
        <f>IFERROR(__xludf.DUMMYFUNCTION("IFERROR(INDEX(GOOGLEFINANCE(""SPY"", ""close"", A83), 2, 2), """")"),739.22)</f>
        <v>739.22</v>
      </c>
      <c r="H83" s="10" t="b">
        <f t="shared" si="1"/>
        <v>1</v>
      </c>
      <c r="I83" s="10" t="b">
        <f t="shared" si="2"/>
        <v>1</v>
      </c>
      <c r="J83" s="2" t="b">
        <f t="shared" si="3"/>
        <v>0</v>
      </c>
    </row>
    <row r="84">
      <c r="A84" s="4">
        <v>46182.0</v>
      </c>
      <c r="B84" s="6">
        <v>459.755</v>
      </c>
      <c r="C84" s="6">
        <v>698.095</v>
      </c>
      <c r="D84" s="6">
        <v>720.85</v>
      </c>
      <c r="E84" s="6">
        <v>760.079</v>
      </c>
      <c r="F84" s="6">
        <v>797.953</v>
      </c>
      <c r="G84" s="10">
        <f>IFERROR(__xludf.DUMMYFUNCTION("IFERROR(INDEX(GOOGLEFINANCE(""SPY"", ""close"", A84), 2, 2), """")"),737.05)</f>
        <v>737.05</v>
      </c>
      <c r="H84" s="10" t="b">
        <f t="shared" si="1"/>
        <v>1</v>
      </c>
      <c r="I84" s="10" t="b">
        <f t="shared" si="2"/>
        <v>1</v>
      </c>
      <c r="J84" s="2" t="b">
        <f t="shared" si="3"/>
        <v>0</v>
      </c>
    </row>
    <row r="85">
      <c r="A85" s="4">
        <v>46183.0</v>
      </c>
      <c r="B85" s="6">
        <v>526.442</v>
      </c>
      <c r="C85" s="6">
        <v>641.489</v>
      </c>
      <c r="D85" s="6">
        <v>716.592</v>
      </c>
      <c r="E85" s="6">
        <v>749.793</v>
      </c>
      <c r="F85" s="6">
        <v>786.366</v>
      </c>
      <c r="G85" s="10">
        <f>IFERROR(__xludf.DUMMYFUNCTION("IFERROR(INDEX(GOOGLEFINANCE(""SPY"", ""close"", A85), 2, 2), """")"),725.43)</f>
        <v>725.43</v>
      </c>
      <c r="H85" s="10" t="b">
        <f t="shared" si="1"/>
        <v>1</v>
      </c>
      <c r="I85" s="10" t="b">
        <f t="shared" si="2"/>
        <v>1</v>
      </c>
      <c r="J85" s="2" t="b">
        <f t="shared" si="3"/>
        <v>0</v>
      </c>
    </row>
    <row r="86">
      <c r="A86" s="4">
        <v>46184.0</v>
      </c>
      <c r="B86" s="6">
        <v>573.026</v>
      </c>
      <c r="C86" s="6">
        <v>603.276</v>
      </c>
      <c r="D86" s="6">
        <v>719.352</v>
      </c>
      <c r="E86" s="6">
        <v>747.705</v>
      </c>
      <c r="F86" s="6">
        <v>826.881</v>
      </c>
      <c r="G86" s="10">
        <f>IFERROR(__xludf.DUMMYFUNCTION("IFERROR(INDEX(GOOGLEFINANCE(""SPY"", ""close"", A86), 2, 2), """")"),737.76)</f>
        <v>737.76</v>
      </c>
      <c r="H86" s="10" t="b">
        <f t="shared" si="1"/>
        <v>1</v>
      </c>
      <c r="I86" s="10" t="b">
        <f t="shared" si="2"/>
        <v>1</v>
      </c>
      <c r="J86" s="2" t="b">
        <f t="shared" si="3"/>
        <v>0</v>
      </c>
    </row>
    <row r="87">
      <c r="A87" s="4">
        <v>46185.0</v>
      </c>
      <c r="B87" s="6">
        <v>508.204</v>
      </c>
      <c r="C87" s="6">
        <v>628.018</v>
      </c>
      <c r="D87" s="6">
        <v>722.08</v>
      </c>
      <c r="E87" s="6">
        <v>752.549</v>
      </c>
      <c r="F87" s="6">
        <v>779.096</v>
      </c>
      <c r="G87" s="10">
        <f>IFERROR(__xludf.DUMMYFUNCTION("IFERROR(INDEX(GOOGLEFINANCE(""SPY"", ""close"", A87), 2, 2), """")"),741.75)</f>
        <v>741.75</v>
      </c>
      <c r="H87" s="10" t="b">
        <f t="shared" si="1"/>
        <v>1</v>
      </c>
      <c r="I87" s="10" t="b">
        <f t="shared" si="2"/>
        <v>1</v>
      </c>
      <c r="J87" s="2" t="b">
        <f t="shared" si="3"/>
        <v>0</v>
      </c>
    </row>
    <row r="88">
      <c r="A88" s="4">
        <v>46188.0</v>
      </c>
      <c r="B88" s="6">
        <v>459.558</v>
      </c>
      <c r="C88" s="6">
        <v>694.129</v>
      </c>
      <c r="D88" s="6">
        <v>726.563</v>
      </c>
      <c r="E88" s="6">
        <v>760.959</v>
      </c>
      <c r="F88" s="6">
        <v>816.19</v>
      </c>
      <c r="G88" s="10">
        <f>IFERROR(__xludf.DUMMYFUNCTION("IFERROR(INDEX(GOOGLEFINANCE(""SPY"", ""close"", A88), 2, 2), """")"),754.83)</f>
        <v>754.83</v>
      </c>
      <c r="H88" s="10" t="b">
        <f t="shared" si="1"/>
        <v>1</v>
      </c>
      <c r="I88" s="10" t="b">
        <f t="shared" si="2"/>
        <v>1</v>
      </c>
      <c r="J88" s="2" t="b">
        <f t="shared" si="3"/>
        <v>0</v>
      </c>
    </row>
    <row r="89">
      <c r="A89" s="4">
        <v>46189.0</v>
      </c>
      <c r="B89" s="6">
        <v>585.968</v>
      </c>
      <c r="C89" s="6">
        <v>680.143</v>
      </c>
      <c r="D89" s="6">
        <v>715.892</v>
      </c>
      <c r="E89" s="6">
        <v>745.458</v>
      </c>
      <c r="F89" s="6">
        <v>783.159</v>
      </c>
      <c r="G89" s="10">
        <f>IFERROR(__xludf.DUMMYFUNCTION("IFERROR(INDEX(GOOGLEFINANCE(""SPY"", ""close"", A89), 2, 2), """")"),750.33)</f>
        <v>750.33</v>
      </c>
      <c r="H89" s="10" t="b">
        <f t="shared" si="1"/>
        <v>1</v>
      </c>
      <c r="I89" s="10" t="b">
        <f t="shared" si="2"/>
        <v>1</v>
      </c>
      <c r="J89" s="2" t="b">
        <f t="shared" si="3"/>
        <v>1</v>
      </c>
    </row>
    <row r="90">
      <c r="A90" s="4">
        <v>46190.0</v>
      </c>
      <c r="B90" s="6">
        <v>458.988</v>
      </c>
      <c r="C90" s="6">
        <v>687.546</v>
      </c>
      <c r="D90" s="6">
        <v>717.561</v>
      </c>
      <c r="E90" s="6">
        <v>748.689</v>
      </c>
      <c r="F90" s="6">
        <v>823.407</v>
      </c>
      <c r="G90" s="10">
        <f>IFERROR(__xludf.DUMMYFUNCTION("IFERROR(INDEX(GOOGLEFINANCE(""SPY"", ""close"", A90), 2, 2), """")"),740.96)</f>
        <v>740.96</v>
      </c>
      <c r="H90" s="10" t="b">
        <f t="shared" si="1"/>
        <v>1</v>
      </c>
      <c r="I90" s="10" t="b">
        <f t="shared" si="2"/>
        <v>1</v>
      </c>
      <c r="J90" s="2" t="b">
        <f t="shared" si="3"/>
        <v>0</v>
      </c>
    </row>
    <row r="91">
      <c r="A91" s="4">
        <v>46191.0</v>
      </c>
      <c r="B91" s="6">
        <v>403.742</v>
      </c>
      <c r="C91" s="6">
        <v>692.375</v>
      </c>
      <c r="D91" s="6">
        <v>723.048</v>
      </c>
      <c r="E91" s="6">
        <v>754.921</v>
      </c>
      <c r="F91" s="6">
        <v>805.278</v>
      </c>
      <c r="G91" s="10">
        <f>IFERROR(__xludf.DUMMYFUNCTION("IFERROR(INDEX(GOOGLEFINANCE(""SPY"", ""close"", A91), 2, 2), """")"),746.74)</f>
        <v>746.74</v>
      </c>
      <c r="H91" s="10" t="b">
        <f t="shared" si="1"/>
        <v>1</v>
      </c>
      <c r="I91" s="10" t="b">
        <f t="shared" si="2"/>
        <v>1</v>
      </c>
      <c r="J91" s="2" t="b">
        <f t="shared" si="3"/>
        <v>0</v>
      </c>
    </row>
    <row r="92">
      <c r="A92" s="4">
        <v>46195.0</v>
      </c>
      <c r="B92" s="6">
        <v>391.984</v>
      </c>
      <c r="C92" s="6">
        <v>663.726</v>
      </c>
      <c r="D92" s="6">
        <v>727.841</v>
      </c>
      <c r="E92" s="6">
        <v>759.217</v>
      </c>
      <c r="F92" s="6">
        <v>773.639</v>
      </c>
      <c r="G92" s="10">
        <f>IFERROR(__xludf.DUMMYFUNCTION("IFERROR(INDEX(GOOGLEFINANCE(""SPY"", ""close"", A92), 2, 2), """")"),744.39)</f>
        <v>744.39</v>
      </c>
      <c r="H92" s="10" t="b">
        <f t="shared" si="1"/>
        <v>1</v>
      </c>
      <c r="I92" s="10" t="b">
        <f t="shared" si="2"/>
        <v>1</v>
      </c>
      <c r="J92" s="2" t="b">
        <f t="shared" si="3"/>
        <v>0</v>
      </c>
    </row>
    <row r="93">
      <c r="A93" s="4">
        <v>46196.0</v>
      </c>
      <c r="B93" s="6">
        <v>469.262</v>
      </c>
      <c r="C93" s="6">
        <v>698.029</v>
      </c>
      <c r="D93" s="6">
        <v>728.492</v>
      </c>
      <c r="E93" s="6">
        <v>753.903</v>
      </c>
      <c r="F93" s="6">
        <v>785.928</v>
      </c>
      <c r="G93" s="10">
        <f>IFERROR(__xludf.DUMMYFUNCTION("IFERROR(INDEX(GOOGLEFINANCE(""SPY"", ""close"", A93), 2, 2), """")"),733.58)</f>
        <v>733.58</v>
      </c>
      <c r="H93" s="10" t="b">
        <f t="shared" si="1"/>
        <v>1</v>
      </c>
      <c r="I93" s="10" t="b">
        <f t="shared" si="2"/>
        <v>1</v>
      </c>
      <c r="J93" s="2" t="b">
        <f t="shared" si="3"/>
        <v>0</v>
      </c>
    </row>
    <row r="94">
      <c r="A94" s="4">
        <v>46197.0</v>
      </c>
      <c r="B94" s="6">
        <v>467.584</v>
      </c>
      <c r="C94" s="6">
        <v>701.444</v>
      </c>
      <c r="D94" s="6">
        <v>725.947</v>
      </c>
      <c r="E94" s="6">
        <v>747.661</v>
      </c>
      <c r="F94" s="6">
        <v>787.881</v>
      </c>
      <c r="G94" s="10">
        <f>IFERROR(__xludf.DUMMYFUNCTION("IFERROR(INDEX(GOOGLEFINANCE(""SPY"", ""close"", A94), 2, 2), """")"),733.24)</f>
        <v>733.24</v>
      </c>
      <c r="H94" s="10" t="b">
        <f t="shared" si="1"/>
        <v>1</v>
      </c>
      <c r="I94" s="10" t="b">
        <f t="shared" si="2"/>
        <v>1</v>
      </c>
      <c r="J94" s="2" t="b">
        <f t="shared" si="3"/>
        <v>0</v>
      </c>
    </row>
    <row r="95">
      <c r="A95" s="4">
        <v>46198.0</v>
      </c>
      <c r="B95" s="6">
        <v>663.352</v>
      </c>
      <c r="C95" s="6">
        <v>705.82</v>
      </c>
      <c r="D95" s="6">
        <v>730.642</v>
      </c>
      <c r="E95" s="6">
        <v>756.163</v>
      </c>
      <c r="F95" s="6">
        <v>775.304</v>
      </c>
      <c r="G95" s="10">
        <f>IFERROR(__xludf.DUMMYFUNCTION("IFERROR(INDEX(GOOGLEFINANCE(""SPY"", ""close"", A95), 2, 2), """")"),734.3)</f>
        <v>734.3</v>
      </c>
      <c r="H95" s="10" t="b">
        <f t="shared" si="1"/>
        <v>1</v>
      </c>
      <c r="I95" s="10" t="b">
        <f t="shared" si="2"/>
        <v>1</v>
      </c>
      <c r="J95" s="2" t="b">
        <f t="shared" si="3"/>
        <v>0</v>
      </c>
    </row>
    <row r="96">
      <c r="A96" s="4">
        <v>46199.0</v>
      </c>
      <c r="B96" s="6">
        <v>484.495</v>
      </c>
      <c r="C96" s="6">
        <v>645.944</v>
      </c>
      <c r="D96" s="6">
        <v>728.687</v>
      </c>
      <c r="E96" s="6">
        <v>752.118</v>
      </c>
      <c r="F96" s="6">
        <v>782.777</v>
      </c>
      <c r="G96" s="10">
        <f>IFERROR(__xludf.DUMMYFUNCTION("IFERROR(INDEX(GOOGLEFINANCE(""SPY"", ""close"", A96), 2, 2), """")"),728.99)</f>
        <v>728.99</v>
      </c>
      <c r="H96" s="10" t="b">
        <f t="shared" si="1"/>
        <v>1</v>
      </c>
      <c r="I96" s="10" t="b">
        <f t="shared" si="2"/>
        <v>1</v>
      </c>
      <c r="J96" s="2" t="b">
        <f t="shared" si="3"/>
        <v>0</v>
      </c>
    </row>
    <row r="97">
      <c r="A97" s="4">
        <v>46202.0</v>
      </c>
      <c r="B97" s="6">
        <v>570.748</v>
      </c>
      <c r="C97" s="6">
        <v>605.173</v>
      </c>
      <c r="D97" s="6">
        <v>732.305</v>
      </c>
      <c r="E97" s="6">
        <v>759.78</v>
      </c>
      <c r="F97" s="6">
        <v>796.359</v>
      </c>
      <c r="G97" s="10">
        <f>IFERROR(__xludf.DUMMYFUNCTION("IFERROR(INDEX(GOOGLEFINANCE(""SPY"", ""close"", A97), 2, 2), """")"),741.0)</f>
        <v>741</v>
      </c>
      <c r="H97" s="10" t="b">
        <f t="shared" si="1"/>
        <v>1</v>
      </c>
      <c r="I97" s="10" t="b">
        <f t="shared" si="2"/>
        <v>1</v>
      </c>
      <c r="J97" s="2" t="b">
        <f t="shared" si="3"/>
        <v>0</v>
      </c>
    </row>
    <row r="98">
      <c r="A98" s="4">
        <v>46203.0</v>
      </c>
      <c r="B98" s="6">
        <v>492.002</v>
      </c>
      <c r="C98" s="6">
        <v>696.678</v>
      </c>
      <c r="D98" s="6">
        <v>730.633</v>
      </c>
      <c r="E98" s="6">
        <v>755.045</v>
      </c>
      <c r="F98" s="6">
        <v>783.499</v>
      </c>
      <c r="G98" s="10">
        <f>IFERROR(__xludf.DUMMYFUNCTION("IFERROR(INDEX(GOOGLEFINANCE(""SPY"", ""close"", A98), 2, 2), """")"),746.77)</f>
        <v>746.77</v>
      </c>
      <c r="H98" s="10" t="b">
        <f t="shared" si="1"/>
        <v>1</v>
      </c>
      <c r="I98" s="10" t="b">
        <f t="shared" si="2"/>
        <v>1</v>
      </c>
      <c r="J98" s="2" t="b">
        <f t="shared" si="3"/>
        <v>0</v>
      </c>
    </row>
    <row r="99">
      <c r="A99" s="4">
        <v>46204.0</v>
      </c>
      <c r="B99" s="6">
        <v>458.751</v>
      </c>
      <c r="C99" s="6">
        <v>700.372</v>
      </c>
      <c r="D99" s="6">
        <v>730.031</v>
      </c>
      <c r="E99" s="6">
        <v>750.819</v>
      </c>
      <c r="F99" s="6">
        <v>777.836</v>
      </c>
      <c r="G99" s="10">
        <f>IFERROR(__xludf.DUMMYFUNCTION("IFERROR(INDEX(GOOGLEFINANCE(""SPY"", ""close"", A99), 2, 2), """")"),745.76)</f>
        <v>745.76</v>
      </c>
      <c r="H99" s="10" t="b">
        <f t="shared" si="1"/>
        <v>1</v>
      </c>
      <c r="I99" s="10" t="b">
        <f t="shared" si="2"/>
        <v>1</v>
      </c>
      <c r="J99" s="2" t="b">
        <f t="shared" si="3"/>
        <v>0</v>
      </c>
    </row>
    <row r="100">
      <c r="A100" s="4">
        <v>46205.0</v>
      </c>
      <c r="B100" s="6">
        <v>374.087</v>
      </c>
      <c r="C100" s="6">
        <v>707.663</v>
      </c>
      <c r="D100" s="6">
        <v>736.44</v>
      </c>
      <c r="E100" s="6">
        <v>762.261</v>
      </c>
      <c r="F100" s="6">
        <v>858.098</v>
      </c>
      <c r="G100" s="10">
        <f>IFERROR(__xludf.DUMMYFUNCTION("IFERROR(INDEX(GOOGLEFINANCE(""SPY"", ""close"", A100), 2, 2), """")"),744.78)</f>
        <v>744.78</v>
      </c>
      <c r="H100" s="10" t="b">
        <f t="shared" si="1"/>
        <v>1</v>
      </c>
      <c r="I100" s="10" t="b">
        <f t="shared" si="2"/>
        <v>1</v>
      </c>
      <c r="J100" s="2" t="b">
        <f t="shared" si="3"/>
        <v>0</v>
      </c>
    </row>
    <row r="101">
      <c r="A101" s="4">
        <v>46209.0</v>
      </c>
      <c r="B101" s="6">
        <v>431.233</v>
      </c>
      <c r="C101" s="6">
        <v>605.926</v>
      </c>
      <c r="D101" s="6">
        <v>737.425</v>
      </c>
      <c r="E101" s="6">
        <v>768.069</v>
      </c>
      <c r="F101" s="6">
        <v>857.449</v>
      </c>
      <c r="G101" s="10">
        <f>IFERROR(__xludf.DUMMYFUNCTION("IFERROR(INDEX(GOOGLEFINANCE(""SPY"", ""close"", A101), 2, 2), """")"),751.28)</f>
        <v>751.28</v>
      </c>
      <c r="H101" s="10" t="b">
        <f t="shared" si="1"/>
        <v>1</v>
      </c>
      <c r="I101" s="10" t="b">
        <f t="shared" si="2"/>
        <v>1</v>
      </c>
      <c r="J101" s="2" t="b">
        <f t="shared" si="3"/>
        <v>0</v>
      </c>
    </row>
    <row r="102">
      <c r="A102" s="4">
        <v>46210.0</v>
      </c>
      <c r="B102" s="6">
        <v>495.658</v>
      </c>
      <c r="C102" s="6">
        <v>705.951</v>
      </c>
      <c r="D102" s="6">
        <v>736.112</v>
      </c>
      <c r="E102" s="6">
        <v>767.982</v>
      </c>
      <c r="F102" s="6">
        <v>788.241</v>
      </c>
      <c r="G102" s="10">
        <f>IFERROR(__xludf.DUMMYFUNCTION("IFERROR(INDEX(GOOGLEFINANCE(""SPY"", ""close"", A102), 2, 2), """")"),747.71)</f>
        <v>747.71</v>
      </c>
      <c r="H102" s="10" t="b">
        <f t="shared" si="1"/>
        <v>1</v>
      </c>
      <c r="I102" s="10" t="b">
        <f t="shared" si="2"/>
        <v>1</v>
      </c>
      <c r="J102" s="2" t="b">
        <f t="shared" si="3"/>
        <v>0</v>
      </c>
    </row>
    <row r="103">
      <c r="A103" s="4">
        <v>46211.0</v>
      </c>
      <c r="B103" s="6">
        <v>462.831</v>
      </c>
      <c r="C103" s="6">
        <v>707.803</v>
      </c>
      <c r="D103" s="6">
        <v>734.942</v>
      </c>
      <c r="E103" s="6">
        <v>767.435</v>
      </c>
      <c r="F103" s="6">
        <v>811.806</v>
      </c>
      <c r="G103" s="10">
        <f>IFERROR(__xludf.DUMMYFUNCTION("IFERROR(INDEX(GOOGLEFINANCE(""SPY"", ""close"", A103), 2, 2), """")"),745.4)</f>
        <v>745.4</v>
      </c>
      <c r="H103" s="10" t="b">
        <f t="shared" si="1"/>
        <v>1</v>
      </c>
      <c r="I103" s="10" t="b">
        <f t="shared" si="2"/>
        <v>1</v>
      </c>
      <c r="J103" s="2" t="b">
        <f t="shared" si="3"/>
        <v>0</v>
      </c>
    </row>
    <row r="104">
      <c r="A104" s="4">
        <v>46212.0</v>
      </c>
      <c r="B104" s="6">
        <v>512.02</v>
      </c>
      <c r="C104" s="6">
        <v>659.283</v>
      </c>
      <c r="D104" s="6">
        <v>742.536</v>
      </c>
      <c r="E104" s="6">
        <v>767.769</v>
      </c>
      <c r="F104" s="6">
        <v>824.034</v>
      </c>
      <c r="G104" s="10">
        <f>IFERROR(__xludf.DUMMYFUNCTION("IFERROR(INDEX(GOOGLEFINANCE(""SPY"", ""close"", A104), 2, 2), """")"),751.71)</f>
        <v>751.71</v>
      </c>
      <c r="H104" s="10" t="b">
        <f t="shared" si="1"/>
        <v>1</v>
      </c>
      <c r="I104" s="10" t="b">
        <f t="shared" si="2"/>
        <v>1</v>
      </c>
      <c r="J104" s="2" t="b">
        <f t="shared" si="3"/>
        <v>0</v>
      </c>
    </row>
    <row r="105">
      <c r="A105" s="4">
        <v>46213.0</v>
      </c>
      <c r="B105" s="6">
        <v>504.988</v>
      </c>
      <c r="C105" s="6">
        <v>703.756</v>
      </c>
      <c r="D105" s="6">
        <v>739.837</v>
      </c>
      <c r="E105" s="6">
        <v>764.493</v>
      </c>
      <c r="F105" s="6">
        <v>820.74</v>
      </c>
      <c r="G105" s="10">
        <f>IFERROR(__xludf.DUMMYFUNCTION("IFERROR(INDEX(GOOGLEFINANCE(""SPY"", ""close"", A105), 2, 2), """")"),754.95)</f>
        <v>754.95</v>
      </c>
      <c r="H105" s="10" t="b">
        <f t="shared" si="1"/>
        <v>1</v>
      </c>
      <c r="I105" s="10" t="b">
        <f t="shared" si="2"/>
        <v>1</v>
      </c>
      <c r="J105" s="2" t="b">
        <f t="shared" si="3"/>
        <v>0</v>
      </c>
    </row>
    <row r="106">
      <c r="A106" s="4">
        <v>46216.0</v>
      </c>
      <c r="B106" s="6">
        <v>343.622</v>
      </c>
      <c r="C106" s="6">
        <v>693.101</v>
      </c>
      <c r="D106" s="6">
        <v>746.079</v>
      </c>
      <c r="E106" s="6">
        <v>788.633</v>
      </c>
      <c r="F106" s="6">
        <v>833.774</v>
      </c>
      <c r="G106" s="10">
        <f>IFERROR(__xludf.DUMMYFUNCTION("IFERROR(INDEX(GOOGLEFINANCE(""SPY"", ""close"", A106), 2, 2), """")"),749.17)</f>
        <v>749.17</v>
      </c>
      <c r="H106" s="10" t="b">
        <f t="shared" si="1"/>
        <v>1</v>
      </c>
      <c r="I106" s="10" t="b">
        <f t="shared" si="2"/>
        <v>1</v>
      </c>
      <c r="J106" s="2" t="b">
        <f t="shared" si="3"/>
        <v>0</v>
      </c>
    </row>
    <row r="107">
      <c r="A107" s="4">
        <v>46217.0</v>
      </c>
      <c r="B107" s="6">
        <v>440.034</v>
      </c>
      <c r="C107" s="6">
        <v>709.638</v>
      </c>
      <c r="D107" s="6">
        <v>740.557</v>
      </c>
      <c r="E107" s="6">
        <v>762.626</v>
      </c>
      <c r="F107" s="6">
        <v>807.153</v>
      </c>
      <c r="G107" s="10">
        <f>IFERROR(__xludf.DUMMYFUNCTION("IFERROR(INDEX(GOOGLEFINANCE(""SPY"", ""close"", A107), 2, 2), """")"),751.83)</f>
        <v>751.83</v>
      </c>
      <c r="H107" s="10" t="b">
        <f t="shared" si="1"/>
        <v>1</v>
      </c>
      <c r="I107" s="10" t="b">
        <f t="shared" si="2"/>
        <v>1</v>
      </c>
      <c r="J107" s="2" t="b">
        <f t="shared" si="3"/>
        <v>0</v>
      </c>
    </row>
    <row r="108">
      <c r="A108" s="4">
        <v>46218.0</v>
      </c>
      <c r="B108" s="6">
        <v>537.853</v>
      </c>
      <c r="C108" s="6">
        <v>712.037</v>
      </c>
      <c r="D108" s="6">
        <v>734.258</v>
      </c>
      <c r="E108" s="6">
        <v>753.399</v>
      </c>
      <c r="F108" s="6">
        <v>815.377</v>
      </c>
      <c r="G108" s="10">
        <f>IFERROR(__xludf.DUMMYFUNCTION("IFERROR(INDEX(GOOGLEFINANCE(""SPY"", ""close"", A108), 2, 2), """")"),754.81)</f>
        <v>754.81</v>
      </c>
      <c r="H108" s="10" t="b">
        <f t="shared" si="1"/>
        <v>1</v>
      </c>
      <c r="I108" s="10" t="b">
        <f t="shared" si="2"/>
        <v>1</v>
      </c>
      <c r="J108" s="2" t="b">
        <f t="shared" si="3"/>
        <v>1</v>
      </c>
    </row>
    <row r="109">
      <c r="A109" s="4">
        <v>46219.0</v>
      </c>
      <c r="B109" s="6">
        <v>392.593</v>
      </c>
      <c r="C109" s="6">
        <v>713.789</v>
      </c>
      <c r="D109" s="6">
        <v>739.657</v>
      </c>
      <c r="E109" s="6">
        <v>768.851</v>
      </c>
      <c r="F109" s="6">
        <v>835.043</v>
      </c>
      <c r="G109" s="10">
        <f>IFERROR(__xludf.DUMMYFUNCTION("IFERROR(INDEX(GOOGLEFINANCE(""SPY"", ""close"", A109), 2, 2), """")"),750.72)</f>
        <v>750.72</v>
      </c>
      <c r="H109" s="10" t="b">
        <f t="shared" si="1"/>
        <v>1</v>
      </c>
      <c r="I109" s="10" t="b">
        <f t="shared" si="2"/>
        <v>1</v>
      </c>
      <c r="J109" s="2" t="b">
        <f t="shared" si="3"/>
        <v>0</v>
      </c>
    </row>
    <row r="110">
      <c r="A110" s="4">
        <v>46220.0</v>
      </c>
      <c r="B110" s="6">
        <v>555.756</v>
      </c>
      <c r="C110" s="6">
        <v>709.736</v>
      </c>
      <c r="D110" s="6">
        <v>749.443</v>
      </c>
      <c r="E110" s="6">
        <v>768.766</v>
      </c>
      <c r="F110" s="6">
        <v>812.048</v>
      </c>
      <c r="G110" s="10">
        <f>IFERROR(__xludf.DUMMYFUNCTION("IFERROR(INDEX(GOOGLEFINANCE(""SPY"", ""close"", A110), 2, 2), """")"),743.29)</f>
        <v>743.29</v>
      </c>
      <c r="H110" s="10" t="b">
        <f t="shared" si="1"/>
        <v>0</v>
      </c>
      <c r="I110" s="10" t="b">
        <f t="shared" si="2"/>
        <v>1</v>
      </c>
      <c r="J110" s="2" t="b">
        <f t="shared" si="3"/>
        <v>0</v>
      </c>
    </row>
    <row r="111">
      <c r="A111" s="4">
        <v>46223.0</v>
      </c>
      <c r="B111" s="6">
        <v>498.904</v>
      </c>
      <c r="C111" s="6">
        <v>658.614</v>
      </c>
      <c r="D111" s="6">
        <v>735.87</v>
      </c>
      <c r="E111" s="6">
        <v>760.061</v>
      </c>
      <c r="F111" s="6">
        <v>801.135</v>
      </c>
      <c r="G111" s="10">
        <f>IFERROR(__xludf.DUMMYFUNCTION("IFERROR(INDEX(GOOGLEFINANCE(""SPY"", ""close"", A111), 2, 2), """")"),742.09)</f>
        <v>742.09</v>
      </c>
      <c r="H111" s="10" t="b">
        <f t="shared" si="1"/>
        <v>1</v>
      </c>
      <c r="I111" s="10" t="b">
        <f t="shared" si="2"/>
        <v>1</v>
      </c>
      <c r="J111" s="2" t="b">
        <f t="shared" si="3"/>
        <v>0</v>
      </c>
    </row>
    <row r="112">
      <c r="A112" s="4">
        <v>46224.0</v>
      </c>
      <c r="B112" s="6">
        <v>491.373</v>
      </c>
      <c r="C112" s="6">
        <v>714.001</v>
      </c>
      <c r="D112" s="6">
        <v>743.332</v>
      </c>
      <c r="E112" s="6">
        <v>771.249</v>
      </c>
      <c r="F112" s="6">
        <v>817.878</v>
      </c>
      <c r="G112" s="10">
        <f>IFERROR(__xludf.DUMMYFUNCTION("IFERROR(INDEX(GOOGLEFINANCE(""SPY"", ""close"", A112), 2, 2), """")"),748.28)</f>
        <v>748.28</v>
      </c>
      <c r="H112" s="10" t="b">
        <f t="shared" si="1"/>
        <v>1</v>
      </c>
      <c r="I112" s="10" t="b">
        <f t="shared" si="2"/>
        <v>1</v>
      </c>
      <c r="J112" s="2" t="b">
        <f t="shared" si="3"/>
        <v>0</v>
      </c>
    </row>
    <row r="113">
      <c r="A113" s="4">
        <v>46225.0</v>
      </c>
      <c r="B113" s="6">
        <v>468.894</v>
      </c>
      <c r="C113" s="6">
        <v>702.161</v>
      </c>
      <c r="D113" s="6">
        <v>734.452</v>
      </c>
      <c r="E113" s="6">
        <v>760.298</v>
      </c>
      <c r="F113" s="6">
        <v>799.651</v>
      </c>
      <c r="G113" s="10">
        <f>IFERROR(__xludf.DUMMYFUNCTION("IFERROR(INDEX(GOOGLEFINANCE(""SPY"", ""close"", A113), 2, 2), """")"),747.41)</f>
        <v>747.41</v>
      </c>
      <c r="H113" s="10" t="b">
        <f t="shared" si="1"/>
        <v>1</v>
      </c>
      <c r="I113" s="10" t="b">
        <f t="shared" si="2"/>
        <v>1</v>
      </c>
      <c r="J113" s="2" t="b">
        <f t="shared" si="3"/>
        <v>0</v>
      </c>
    </row>
    <row r="114">
      <c r="A114" s="4">
        <v>46226.0</v>
      </c>
      <c r="B114" s="6">
        <v>264.763</v>
      </c>
      <c r="C114" s="6">
        <v>707.032</v>
      </c>
      <c r="D114" s="6">
        <v>741.082</v>
      </c>
      <c r="E114" s="6">
        <v>772.232</v>
      </c>
      <c r="F114" s="6">
        <v>809.939</v>
      </c>
      <c r="G114" s="10">
        <f>IFERROR(__xludf.DUMMYFUNCTION("IFERROR(INDEX(GOOGLEFINANCE(""SPY"", ""close"", A114), 2, 2), """")"),738.18)</f>
        <v>738.18</v>
      </c>
      <c r="H114" s="10" t="b">
        <f t="shared" si="1"/>
        <v>0</v>
      </c>
      <c r="I114" s="10" t="b">
        <f t="shared" si="2"/>
        <v>1</v>
      </c>
      <c r="J114" s="2" t="b">
        <f t="shared" si="3"/>
        <v>0</v>
      </c>
    </row>
    <row r="115">
      <c r="A115" s="4">
        <v>46227.0</v>
      </c>
      <c r="B115" s="6">
        <v>450.607</v>
      </c>
      <c r="C115" s="6">
        <v>707.622</v>
      </c>
      <c r="D115" s="6">
        <v>746.445</v>
      </c>
      <c r="E115" s="6">
        <v>766.944</v>
      </c>
      <c r="F115" s="6">
        <v>797.742</v>
      </c>
      <c r="G115" s="10">
        <f>IFERROR(__xludf.DUMMYFUNCTION("IFERROR(INDEX(GOOGLEFINANCE(""SPY"", ""close"", A115), 2, 2), """")"),738.93)</f>
        <v>738.93</v>
      </c>
      <c r="H115" s="10" t="b">
        <f t="shared" si="1"/>
        <v>0</v>
      </c>
      <c r="I115" s="10" t="b">
        <f t="shared" si="2"/>
        <v>1</v>
      </c>
      <c r="J115" s="2" t="b">
        <f t="shared" si="3"/>
        <v>0</v>
      </c>
    </row>
    <row r="116">
      <c r="A116" s="4">
        <v>46230.0</v>
      </c>
      <c r="B116" s="6">
        <v>463.073</v>
      </c>
      <c r="C116" s="6">
        <v>656.136</v>
      </c>
      <c r="D116" s="6">
        <v>742.911</v>
      </c>
      <c r="E116" s="6">
        <v>776.485</v>
      </c>
      <c r="F116" s="6">
        <v>852.918</v>
      </c>
      <c r="G116" s="10">
        <f>IFERROR(__xludf.DUMMYFUNCTION("IFERROR(INDEX(GOOGLEFINANCE(""SPY"", ""close"", A116), 2, 2), """")"),739.09)</f>
        <v>739.09</v>
      </c>
      <c r="H116" s="10" t="b">
        <f t="shared" si="1"/>
        <v>0</v>
      </c>
      <c r="I116" s="10" t="b">
        <f t="shared" si="2"/>
        <v>1</v>
      </c>
      <c r="J116" s="2" t="b">
        <f t="shared" si="3"/>
        <v>0</v>
      </c>
    </row>
    <row r="117">
      <c r="A117" s="4">
        <v>46231.0</v>
      </c>
      <c r="B117" s="6">
        <v>471.373</v>
      </c>
      <c r="C117" s="6">
        <v>716.202</v>
      </c>
      <c r="D117" s="6">
        <v>749.993</v>
      </c>
      <c r="E117" s="6">
        <v>776.125</v>
      </c>
      <c r="F117" s="6">
        <v>816.338</v>
      </c>
      <c r="G117" s="10">
        <f>IFERROR(__xludf.DUMMYFUNCTION("IFERROR(INDEX(GOOGLEFINANCE(""SPY"", ""close"", A117), 2, 2), """")"),740.86)</f>
        <v>740.86</v>
      </c>
      <c r="H117" s="10" t="b">
        <f t="shared" si="1"/>
        <v>0</v>
      </c>
      <c r="I117" s="10" t="b">
        <f t="shared" si="2"/>
        <v>1</v>
      </c>
      <c r="J117" s="2" t="b">
        <f t="shared" si="3"/>
        <v>0</v>
      </c>
    </row>
    <row r="118">
      <c r="A118" s="4">
        <v>46232.0</v>
      </c>
      <c r="B118" s="6">
        <v>480.84</v>
      </c>
      <c r="C118" s="6">
        <v>704.884</v>
      </c>
      <c r="D118" s="6">
        <v>739.694</v>
      </c>
      <c r="E118" s="6">
        <v>760.324</v>
      </c>
      <c r="F118" s="6">
        <v>788.581</v>
      </c>
      <c r="G118" s="10">
        <f>IFERROR(__xludf.DUMMYFUNCTION("IFERROR(INDEX(GOOGLEFINANCE(""SPY"", ""close"", A118), 2, 2), """")"),729.46)</f>
        <v>729.46</v>
      </c>
      <c r="H118" s="10" t="b">
        <f t="shared" si="1"/>
        <v>0</v>
      </c>
      <c r="I118" s="10" t="b">
        <f t="shared" si="2"/>
        <v>1</v>
      </c>
      <c r="J118" s="2" t="b">
        <f t="shared" si="3"/>
        <v>0</v>
      </c>
    </row>
    <row r="119">
      <c r="A119" s="4">
        <v>46233.0</v>
      </c>
      <c r="B119" s="6">
        <v>437.37</v>
      </c>
      <c r="C119" s="6">
        <v>705.625</v>
      </c>
      <c r="D119" s="6">
        <v>747.912</v>
      </c>
      <c r="E119" s="6">
        <v>776.262</v>
      </c>
      <c r="F119" s="6">
        <v>815.421</v>
      </c>
      <c r="G119" s="10">
        <f>IFERROR(__xludf.DUMMYFUNCTION("IFERROR(INDEX(GOOGLEFINANCE(""SPY"", ""close"", A119), 2, 2), """")"),741.69)</f>
        <v>741.69</v>
      </c>
      <c r="H119" s="10" t="b">
        <f t="shared" si="1"/>
        <v>0</v>
      </c>
      <c r="I119" s="10" t="b">
        <f t="shared" si="2"/>
        <v>1</v>
      </c>
      <c r="J119" s="2" t="b">
        <f t="shared" si="3"/>
        <v>0</v>
      </c>
    </row>
    <row r="120">
      <c r="A120" s="4">
        <v>46234.0</v>
      </c>
      <c r="B120" s="6">
        <v>473.667</v>
      </c>
      <c r="C120" s="6">
        <v>654.958</v>
      </c>
      <c r="D120" s="6">
        <v>746.078</v>
      </c>
      <c r="E120" s="6">
        <v>773.356</v>
      </c>
      <c r="F120" s="6">
        <v>797.084</v>
      </c>
      <c r="G120" s="10">
        <f>IFERROR(__xludf.DUMMYFUNCTION("IFERROR(INDEX(GOOGLEFINANCE(""SPY"", ""close"", A120), 2, 2), """")"),747.03)</f>
        <v>747.03</v>
      </c>
      <c r="H120" s="10" t="b">
        <f t="shared" si="1"/>
        <v>1</v>
      </c>
      <c r="I120" s="10" t="b">
        <f t="shared" si="2"/>
        <v>1</v>
      </c>
      <c r="J120" s="2" t="b">
        <f t="shared" si="3"/>
        <v>0</v>
      </c>
    </row>
    <row r="121">
      <c r="A121" s="4">
        <v>46237.0</v>
      </c>
      <c r="B121" s="6">
        <v>438.947</v>
      </c>
      <c r="C121" s="6">
        <v>673.651</v>
      </c>
      <c r="D121" s="6">
        <v>744.517</v>
      </c>
      <c r="E121" s="6">
        <v>772.829</v>
      </c>
      <c r="F121" s="6">
        <v>854.296</v>
      </c>
      <c r="G121" s="10">
        <f>IFERROR(__xludf.DUMMYFUNCTION("IFERROR(INDEX(GOOGLEFINANCE(""SPY"", ""close"", A121), 2, 2), """")"),757.67)</f>
        <v>757.67</v>
      </c>
      <c r="H121" s="10" t="b">
        <f t="shared" si="1"/>
        <v>1</v>
      </c>
      <c r="I121" s="10" t="b">
        <f t="shared" si="2"/>
        <v>1</v>
      </c>
      <c r="J121" s="2" t="b">
        <f t="shared" si="3"/>
        <v>0</v>
      </c>
    </row>
    <row r="122">
      <c r="A122" s="4">
        <v>46238.0</v>
      </c>
      <c r="B122" s="6">
        <v>612.619</v>
      </c>
      <c r="C122" s="6">
        <v>643.849</v>
      </c>
      <c r="D122" s="6">
        <v>745.387</v>
      </c>
      <c r="E122" s="6">
        <v>771.494</v>
      </c>
      <c r="F122" s="6">
        <v>784.018</v>
      </c>
      <c r="G122" s="10">
        <f>IFERROR(__xludf.DUMMYFUNCTION("IFERROR(INDEX(GOOGLEFINANCE(""SPY"", ""close"", A122), 2, 2), """")"),771.33)</f>
        <v>771.33</v>
      </c>
      <c r="H122" s="10" t="b">
        <f t="shared" si="1"/>
        <v>1</v>
      </c>
      <c r="I122" s="10" t="b">
        <f t="shared" si="2"/>
        <v>1</v>
      </c>
      <c r="J122" s="2" t="b">
        <f t="shared" si="3"/>
        <v>0</v>
      </c>
    </row>
    <row r="123">
      <c r="A123" s="4">
        <v>46239.0</v>
      </c>
      <c r="B123" s="6">
        <v>603.068</v>
      </c>
      <c r="C123" s="6">
        <v>693.339</v>
      </c>
      <c r="D123" s="6">
        <v>738.059</v>
      </c>
      <c r="E123" s="6">
        <v>764.957</v>
      </c>
      <c r="F123" s="6">
        <v>785.641</v>
      </c>
      <c r="G123" s="10">
        <f>IFERROR(__xludf.DUMMYFUNCTION("IFERROR(INDEX(GOOGLEFINANCE(""SPY"", ""close"", A123), 2, 2), """")"),769.79)</f>
        <v>769.79</v>
      </c>
      <c r="H123" s="10" t="b">
        <f t="shared" si="1"/>
        <v>1</v>
      </c>
      <c r="I123" s="10" t="b">
        <f t="shared" si="2"/>
        <v>1</v>
      </c>
      <c r="J123" s="2" t="b">
        <f t="shared" si="3"/>
        <v>1</v>
      </c>
    </row>
    <row r="124">
      <c r="A124" s="4">
        <v>46240.0</v>
      </c>
      <c r="B124" s="6">
        <v>623.99</v>
      </c>
      <c r="C124" s="6">
        <v>656.264</v>
      </c>
      <c r="D124" s="6">
        <v>748.233</v>
      </c>
      <c r="E124" s="6">
        <v>772.506</v>
      </c>
      <c r="F124" s="6">
        <v>850.001</v>
      </c>
      <c r="G124" s="10">
        <f>IFERROR(__xludf.DUMMYFUNCTION("IFERROR(INDEX(GOOGLEFINANCE(""SPY"", ""close"", A124), 2, 2), """")"),768.56)</f>
        <v>768.56</v>
      </c>
      <c r="H124" s="10" t="b">
        <f t="shared" si="1"/>
        <v>1</v>
      </c>
      <c r="I124" s="10" t="b">
        <f t="shared" si="2"/>
        <v>1</v>
      </c>
      <c r="J124" s="2" t="b">
        <f t="shared" si="3"/>
        <v>0</v>
      </c>
    </row>
    <row r="125">
      <c r="A125" s="4">
        <v>46241.0</v>
      </c>
      <c r="B125" s="6">
        <v>467.433</v>
      </c>
      <c r="C125" s="6">
        <v>650.278</v>
      </c>
      <c r="D125" s="6">
        <v>751.533</v>
      </c>
      <c r="E125" s="6">
        <v>781.727</v>
      </c>
      <c r="F125" s="6">
        <v>818.967</v>
      </c>
      <c r="G125" s="10">
        <f>IFERROR(__xludf.DUMMYFUNCTION("IFERROR(INDEX(GOOGLEFINANCE(""SPY"", ""close"", A125), 2, 2), """")"),773.26)</f>
        <v>773.26</v>
      </c>
      <c r="H125" s="10" t="b">
        <f t="shared" si="1"/>
        <v>1</v>
      </c>
      <c r="I125" s="10" t="b">
        <f t="shared" si="2"/>
        <v>1</v>
      </c>
      <c r="J125" s="2" t="b">
        <f t="shared" si="3"/>
        <v>0</v>
      </c>
    </row>
    <row r="126">
      <c r="A126" s="4">
        <v>46244.0</v>
      </c>
      <c r="B126" s="6">
        <v>394.578</v>
      </c>
      <c r="C126" s="6">
        <v>671.822</v>
      </c>
      <c r="D126" s="6">
        <v>753.863</v>
      </c>
      <c r="E126" s="6">
        <v>784.379</v>
      </c>
      <c r="F126" s="6">
        <v>845.486</v>
      </c>
      <c r="G126" s="10">
        <f>IFERROR(__xludf.DUMMYFUNCTION("IFERROR(INDEX(GOOGLEFINANCE(""SPY"", ""close"", A126), 2, 2), """")"),773.03)</f>
        <v>773.03</v>
      </c>
      <c r="H126" s="10" t="b">
        <f t="shared" si="1"/>
        <v>1</v>
      </c>
      <c r="I126" s="10" t="b">
        <f t="shared" si="2"/>
        <v>1</v>
      </c>
      <c r="J126" s="2" t="b">
        <f t="shared" si="3"/>
        <v>0</v>
      </c>
    </row>
    <row r="127">
      <c r="A127" s="4">
        <v>46245.0</v>
      </c>
      <c r="B127" s="6">
        <v>330.93</v>
      </c>
      <c r="C127" s="6">
        <v>729.161</v>
      </c>
      <c r="D127" s="6">
        <v>749.74</v>
      </c>
      <c r="E127" s="6">
        <v>766.501</v>
      </c>
      <c r="F127" s="6">
        <v>791.131</v>
      </c>
      <c r="G127" s="10">
        <f>IFERROR(__xludf.DUMMYFUNCTION("IFERROR(INDEX(GOOGLEFINANCE(""SPY"", ""close"", A127), 2, 2), """")"),770.56)</f>
        <v>770.56</v>
      </c>
      <c r="H127" s="10" t="b">
        <f t="shared" si="1"/>
        <v>1</v>
      </c>
      <c r="I127" s="10" t="b">
        <f t="shared" si="2"/>
        <v>1</v>
      </c>
      <c r="J127" s="2" t="b">
        <f t="shared" si="3"/>
        <v>1</v>
      </c>
    </row>
    <row r="128">
      <c r="A128" s="4">
        <v>46246.0</v>
      </c>
      <c r="B128" s="6">
        <v>525.319</v>
      </c>
      <c r="C128" s="6">
        <v>692.941</v>
      </c>
      <c r="D128" s="6">
        <v>746.949</v>
      </c>
      <c r="E128" s="6">
        <v>775.216</v>
      </c>
      <c r="F128" s="6">
        <v>807.952</v>
      </c>
      <c r="G128" s="10">
        <f>IFERROR(__xludf.DUMMYFUNCTION("IFERROR(INDEX(GOOGLEFINANCE(""SPY"", ""close"", A128), 2, 2), """")"),772.49)</f>
        <v>772.49</v>
      </c>
      <c r="H128" s="10" t="b">
        <f t="shared" si="1"/>
        <v>1</v>
      </c>
      <c r="I128" s="10" t="b">
        <f t="shared" si="2"/>
        <v>1</v>
      </c>
      <c r="J128" s="2" t="b">
        <f t="shared" si="3"/>
        <v>0</v>
      </c>
    </row>
    <row r="129">
      <c r="A129" s="4">
        <v>46247.0</v>
      </c>
      <c r="B129" s="6">
        <v>516.403</v>
      </c>
      <c r="C129" s="6">
        <v>720.484</v>
      </c>
      <c r="D129" s="6">
        <v>757.634</v>
      </c>
      <c r="E129" s="6">
        <v>783.258</v>
      </c>
      <c r="F129" s="6">
        <v>811.682</v>
      </c>
      <c r="G129" s="10">
        <f>IFERROR(__xludf.DUMMYFUNCTION("IFERROR(INDEX(GOOGLEFINANCE(""SPY"", ""close"", A129), 2, 2), """")"),777.88)</f>
        <v>777.88</v>
      </c>
      <c r="H129" s="10" t="b">
        <f t="shared" si="1"/>
        <v>1</v>
      </c>
      <c r="I129" s="10" t="b">
        <f t="shared" si="2"/>
        <v>1</v>
      </c>
      <c r="J129" s="2" t="b">
        <f t="shared" si="3"/>
        <v>0</v>
      </c>
    </row>
    <row r="130">
      <c r="A130" s="4">
        <v>46248.0</v>
      </c>
      <c r="B130" s="6">
        <v>415.09</v>
      </c>
      <c r="C130" s="6">
        <v>718.028</v>
      </c>
      <c r="D130" s="6">
        <v>745.727</v>
      </c>
      <c r="E130" s="6">
        <v>775.767</v>
      </c>
      <c r="F130" s="6">
        <v>824.951</v>
      </c>
      <c r="G130" s="10">
        <f>IFERROR(__xludf.DUMMYFUNCTION("IFERROR(INDEX(GOOGLEFINANCE(""SPY"", ""close"", A130), 2, 2), """")"),776.34)</f>
        <v>776.34</v>
      </c>
      <c r="H130" s="10" t="b">
        <f t="shared" si="1"/>
        <v>1</v>
      </c>
      <c r="I130" s="10" t="b">
        <f t="shared" si="2"/>
        <v>1</v>
      </c>
      <c r="J130" s="2" t="b">
        <f t="shared" si="3"/>
        <v>1</v>
      </c>
    </row>
    <row r="131">
      <c r="A131" s="4">
        <v>46251.0</v>
      </c>
      <c r="B131" s="6">
        <v>592.773</v>
      </c>
      <c r="C131" s="6">
        <v>669.396</v>
      </c>
      <c r="D131" s="6">
        <v>757.412</v>
      </c>
      <c r="E131" s="6">
        <v>790.546</v>
      </c>
      <c r="F131" s="6">
        <v>859.532</v>
      </c>
      <c r="G131" s="10">
        <f>IFERROR(__xludf.DUMMYFUNCTION("IFERROR(INDEX(GOOGLEFINANCE(""SPY"", ""close"", A131), 2, 2), """")"),772.67)</f>
        <v>772.67</v>
      </c>
      <c r="H131" s="10" t="b">
        <f t="shared" si="1"/>
        <v>1</v>
      </c>
      <c r="I131" s="10" t="b">
        <f t="shared" si="2"/>
        <v>1</v>
      </c>
      <c r="J131" s="2" t="b">
        <f t="shared" si="3"/>
        <v>0</v>
      </c>
    </row>
    <row r="132">
      <c r="A132" s="4">
        <v>46252.0</v>
      </c>
      <c r="B132" s="6">
        <v>403.624</v>
      </c>
      <c r="C132" s="6">
        <v>722.094</v>
      </c>
      <c r="D132" s="6">
        <v>751.245</v>
      </c>
      <c r="E132" s="6">
        <v>775.148</v>
      </c>
      <c r="F132" s="6">
        <v>863.402</v>
      </c>
      <c r="G132" s="10">
        <f>IFERROR(__xludf.DUMMYFUNCTION("IFERROR(INDEX(GOOGLEFINANCE(""SPY"", ""close"", A132), 2, 2), """")"),767.45)</f>
        <v>767.45</v>
      </c>
      <c r="H132" s="10" t="b">
        <f t="shared" si="1"/>
        <v>1</v>
      </c>
      <c r="I132" s="10" t="b">
        <f t="shared" si="2"/>
        <v>1</v>
      </c>
      <c r="J132" s="2" t="b">
        <f t="shared" si="3"/>
        <v>0</v>
      </c>
    </row>
    <row r="133">
      <c r="A133" s="4">
        <v>46253.0</v>
      </c>
      <c r="B133" s="6">
        <v>482.131</v>
      </c>
      <c r="C133" s="6">
        <v>669.266</v>
      </c>
      <c r="D133" s="6">
        <v>743.54</v>
      </c>
      <c r="E133" s="6">
        <v>772.821</v>
      </c>
      <c r="F133" s="6">
        <v>798.694</v>
      </c>
      <c r="G133" s="10">
        <f>IFERROR(__xludf.DUMMYFUNCTION("IFERROR(INDEX(GOOGLEFINANCE(""SPY"", ""close"", A133), 2, 2), """")"),769.06)</f>
        <v>769.06</v>
      </c>
      <c r="H133" s="10" t="b">
        <f t="shared" si="1"/>
        <v>1</v>
      </c>
      <c r="I133" s="10" t="b">
        <f t="shared" si="2"/>
        <v>1</v>
      </c>
      <c r="J133" s="2" t="b">
        <f t="shared" si="3"/>
        <v>0</v>
      </c>
    </row>
    <row r="134">
      <c r="A134" s="4">
        <v>46254.0</v>
      </c>
      <c r="B134" s="6">
        <v>522.62</v>
      </c>
      <c r="C134" s="6">
        <v>674.461</v>
      </c>
      <c r="D134" s="6">
        <v>753.607</v>
      </c>
      <c r="E134" s="6">
        <v>781.364</v>
      </c>
      <c r="F134" s="6">
        <v>814.543</v>
      </c>
      <c r="G134" s="10">
        <f>IFERROR(__xludf.DUMMYFUNCTION("IFERROR(INDEX(GOOGLEFINANCE(""SPY"", ""close"", A134), 2, 2), """")"),762.6)</f>
        <v>762.6</v>
      </c>
      <c r="H134" s="10" t="b">
        <f t="shared" si="1"/>
        <v>1</v>
      </c>
      <c r="I134" s="10" t="b">
        <f t="shared" si="2"/>
        <v>1</v>
      </c>
      <c r="J134" s="2" t="b">
        <f t="shared" si="3"/>
        <v>0</v>
      </c>
    </row>
    <row r="135">
      <c r="A135" s="4">
        <v>46255.0</v>
      </c>
      <c r="B135" s="6">
        <v>418.8</v>
      </c>
      <c r="C135" s="6">
        <v>720.878</v>
      </c>
      <c r="D135" s="6">
        <v>749.391</v>
      </c>
      <c r="E135" s="6">
        <v>775.966</v>
      </c>
      <c r="F135" s="6">
        <v>827.646</v>
      </c>
      <c r="G135" s="10">
        <f>IFERROR(__xludf.DUMMYFUNCTION("IFERROR(INDEX(GOOGLEFINANCE(""SPY"", ""close"", A135), 2, 2), """")"),765.72)</f>
        <v>765.72</v>
      </c>
      <c r="H135" s="10" t="b">
        <f t="shared" si="1"/>
        <v>1</v>
      </c>
      <c r="I135" s="10" t="b">
        <f t="shared" si="2"/>
        <v>1</v>
      </c>
      <c r="J135" s="2" t="b">
        <f t="shared" si="3"/>
        <v>0</v>
      </c>
    </row>
    <row r="136">
      <c r="A136" s="4">
        <v>46258.0</v>
      </c>
      <c r="B136" s="6">
        <v>613.651</v>
      </c>
      <c r="C136" s="6">
        <v>676.791</v>
      </c>
      <c r="D136" s="6">
        <v>755.276</v>
      </c>
      <c r="E136" s="6">
        <v>799.531</v>
      </c>
      <c r="F136" s="6">
        <v>854.018</v>
      </c>
      <c r="G136" s="10">
        <f>IFERROR(__xludf.DUMMYFUNCTION("IFERROR(INDEX(GOOGLEFINANCE(""SPY"", ""close"", A136), 2, 2), """")"),763.47)</f>
        <v>763.47</v>
      </c>
      <c r="H136" s="10" t="b">
        <f t="shared" si="1"/>
        <v>1</v>
      </c>
      <c r="I136" s="10" t="b">
        <f t="shared" si="2"/>
        <v>1</v>
      </c>
      <c r="J136" s="2" t="b">
        <f t="shared" si="3"/>
        <v>0</v>
      </c>
    </row>
    <row r="137">
      <c r="A137" s="4">
        <v>46259.0</v>
      </c>
      <c r="B137" s="6">
        <v>643.766</v>
      </c>
      <c r="C137" s="6">
        <v>707.018</v>
      </c>
      <c r="D137" s="6">
        <v>749.561</v>
      </c>
      <c r="E137" s="6">
        <v>773.472</v>
      </c>
      <c r="F137" s="6">
        <v>851.678</v>
      </c>
      <c r="G137" s="10">
        <f>IFERROR(__xludf.DUMMYFUNCTION("IFERROR(INDEX(GOOGLEFINANCE(""SPY"", ""close"", A137), 2, 2), """")"),765.91)</f>
        <v>765.91</v>
      </c>
      <c r="H137" s="10" t="b">
        <f t="shared" si="1"/>
        <v>1</v>
      </c>
      <c r="I137" s="10" t="b">
        <f t="shared" si="2"/>
        <v>1</v>
      </c>
      <c r="J137" s="2" t="b">
        <f t="shared" si="3"/>
        <v>0</v>
      </c>
    </row>
    <row r="138">
      <c r="A138" s="4">
        <v>46260.0</v>
      </c>
      <c r="B138" s="6">
        <v>399.569</v>
      </c>
      <c r="C138" s="6">
        <v>720.104</v>
      </c>
      <c r="D138" s="6">
        <v>746.406</v>
      </c>
      <c r="E138" s="6">
        <v>775.886</v>
      </c>
      <c r="F138" s="6">
        <v>803.368</v>
      </c>
      <c r="G138" s="10">
        <f>IFERROR(__xludf.DUMMYFUNCTION("IFERROR(INDEX(GOOGLEFINANCE(""SPY"", ""close"", A138), 2, 2), """")"),766.08)</f>
        <v>766.08</v>
      </c>
      <c r="H138" s="10" t="b">
        <f t="shared" si="1"/>
        <v>1</v>
      </c>
      <c r="I138" s="10" t="b">
        <f t="shared" si="2"/>
        <v>1</v>
      </c>
      <c r="J138" s="2" t="b">
        <f t="shared" si="3"/>
        <v>0</v>
      </c>
    </row>
    <row r="139">
      <c r="A139" s="4">
        <v>46261.0</v>
      </c>
      <c r="B139" s="6">
        <v>492.541</v>
      </c>
      <c r="C139" s="6">
        <v>669.637</v>
      </c>
      <c r="D139" s="6">
        <v>760.292</v>
      </c>
      <c r="E139" s="6">
        <v>788.115</v>
      </c>
      <c r="F139" s="6">
        <v>806.097</v>
      </c>
      <c r="G139" s="10">
        <f>IFERROR(__xludf.DUMMYFUNCTION("IFERROR(INDEX(GOOGLEFINANCE(""SPY"", ""close"", A139), 2, 2), """")"),771.1)</f>
        <v>771.1</v>
      </c>
      <c r="H139" s="10" t="b">
        <f t="shared" si="1"/>
        <v>1</v>
      </c>
      <c r="I139" s="10" t="b">
        <f t="shared" si="2"/>
        <v>1</v>
      </c>
      <c r="J139" s="2" t="b">
        <f t="shared" si="3"/>
        <v>0</v>
      </c>
    </row>
    <row r="140">
      <c r="A140" s="4">
        <v>46262.0</v>
      </c>
      <c r="B140" s="6">
        <v>487.126</v>
      </c>
      <c r="C140" s="6">
        <v>657.92</v>
      </c>
      <c r="D140" s="6">
        <v>756.524</v>
      </c>
      <c r="E140" s="6">
        <v>787.621</v>
      </c>
      <c r="F140" s="6">
        <v>816.456</v>
      </c>
      <c r="G140" s="10">
        <f>IFERROR(__xludf.DUMMYFUNCTION("IFERROR(INDEX(GOOGLEFINANCE(""SPY"", ""close"", A140), 2, 2), """")"),769.35)</f>
        <v>769.35</v>
      </c>
      <c r="H140" s="10" t="b">
        <f t="shared" si="1"/>
        <v>1</v>
      </c>
      <c r="I140" s="10" t="b">
        <f t="shared" si="2"/>
        <v>1</v>
      </c>
      <c r="J140" s="2" t="b">
        <f t="shared" si="3"/>
        <v>0</v>
      </c>
    </row>
    <row r="141">
      <c r="A141" s="4">
        <v>46265.0</v>
      </c>
      <c r="B141" s="6">
        <v>340.745</v>
      </c>
      <c r="C141" s="6">
        <v>690.245</v>
      </c>
      <c r="D141" s="6">
        <v>736.723</v>
      </c>
      <c r="E141" s="6">
        <v>779.734</v>
      </c>
      <c r="F141" s="6">
        <v>858.752</v>
      </c>
      <c r="G141" s="10">
        <f>IFERROR(__xludf.DUMMYFUNCTION("IFERROR(INDEX(GOOGLEFINANCE(""SPY"", ""close"", A141), 2, 2), """")"),767.05)</f>
        <v>767.05</v>
      </c>
      <c r="H141" s="10" t="b">
        <f t="shared" si="1"/>
        <v>1</v>
      </c>
      <c r="I141" s="10" t="b">
        <f t="shared" si="2"/>
        <v>1</v>
      </c>
      <c r="J141" s="2" t="b">
        <f t="shared" si="3"/>
        <v>0</v>
      </c>
    </row>
    <row r="142">
      <c r="A142" s="4">
        <v>46266.0</v>
      </c>
      <c r="B142" s="6">
        <v>521.948</v>
      </c>
      <c r="C142" s="6">
        <v>722.304</v>
      </c>
      <c r="D142" s="6">
        <v>752.686</v>
      </c>
      <c r="E142" s="6">
        <v>775.914</v>
      </c>
      <c r="F142" s="6">
        <v>833.743</v>
      </c>
      <c r="G142" s="10">
        <f>IFERROR(__xludf.DUMMYFUNCTION("IFERROR(INDEX(GOOGLEFINANCE(""SPY"", ""close"", A142), 2, 2), """")"),761.78)</f>
        <v>761.78</v>
      </c>
      <c r="H142" s="10" t="b">
        <f t="shared" si="1"/>
        <v>1</v>
      </c>
      <c r="I142" s="10" t="b">
        <f t="shared" si="2"/>
        <v>1</v>
      </c>
      <c r="J142" s="2" t="b">
        <f t="shared" si="3"/>
        <v>0</v>
      </c>
    </row>
    <row r="143">
      <c r="A143" s="4">
        <v>46267.0</v>
      </c>
      <c r="B143" s="6">
        <v>398.434</v>
      </c>
      <c r="C143" s="6">
        <v>723.755</v>
      </c>
      <c r="D143" s="6">
        <v>748.945</v>
      </c>
      <c r="E143" s="6">
        <v>777.611</v>
      </c>
      <c r="F143" s="6">
        <v>807.325</v>
      </c>
      <c r="G143" s="10">
        <f>IFERROR(__xludf.DUMMYFUNCTION("IFERROR(INDEX(GOOGLEFINANCE(""SPY"", ""close"", A143), 2, 2), """")"),765.16)</f>
        <v>765.16</v>
      </c>
      <c r="H143" s="10" t="b">
        <f t="shared" si="1"/>
        <v>1</v>
      </c>
      <c r="I143" s="10" t="b">
        <f t="shared" si="2"/>
        <v>1</v>
      </c>
      <c r="J143" s="2" t="b">
        <f t="shared" si="3"/>
        <v>0</v>
      </c>
    </row>
    <row r="144">
      <c r="A144" s="4">
        <v>46268.0</v>
      </c>
      <c r="B144" s="6">
        <v>423.49</v>
      </c>
      <c r="C144" s="6">
        <v>662.089</v>
      </c>
      <c r="D144" s="6">
        <v>753.729</v>
      </c>
      <c r="E144" s="6">
        <v>782.066</v>
      </c>
      <c r="F144" s="6">
        <v>814.212</v>
      </c>
      <c r="G144" s="10" t="str">
        <f>IFERROR(__xludf.DUMMYFUNCTION("IFERROR(INDEX(GOOGLEFINANCE(""SPY"", ""close"", A144), 2, 2), """")"),"")</f>
        <v/>
      </c>
      <c r="H144" s="10" t="str">
        <f t="shared" si="1"/>
        <v/>
      </c>
      <c r="I144" s="10" t="str">
        <f t="shared" si="2"/>
        <v/>
      </c>
      <c r="J144" s="2" t="str">
        <f t="shared" si="3"/>
        <v/>
      </c>
    </row>
    <row r="145">
      <c r="A145" s="4">
        <v>46269.0</v>
      </c>
      <c r="B145" s="6">
        <v>497.845</v>
      </c>
      <c r="C145" s="6">
        <v>670.187</v>
      </c>
      <c r="D145" s="6">
        <v>761.002</v>
      </c>
      <c r="E145" s="6">
        <v>781.689</v>
      </c>
      <c r="F145" s="6">
        <v>792.1</v>
      </c>
      <c r="G145" s="10" t="str">
        <f>IFERROR(__xludf.DUMMYFUNCTION("IFERROR(INDEX(GOOGLEFINANCE(""SPY"", ""close"", A145), 2, 2), """")"),"")</f>
        <v/>
      </c>
      <c r="H145" s="10" t="str">
        <f t="shared" si="1"/>
        <v/>
      </c>
      <c r="I145" s="10" t="str">
        <f t="shared" si="2"/>
        <v/>
      </c>
      <c r="J145" s="2" t="str">
        <f t="shared" si="3"/>
        <v/>
      </c>
    </row>
    <row r="146">
      <c r="A146" s="4">
        <v>46273.0</v>
      </c>
      <c r="B146" s="6">
        <v>226.848</v>
      </c>
      <c r="C146" s="6">
        <v>676.848</v>
      </c>
      <c r="D146" s="6">
        <v>761.585</v>
      </c>
      <c r="E146" s="6">
        <v>789.417</v>
      </c>
      <c r="F146" s="6">
        <v>822.147</v>
      </c>
      <c r="G146" s="10" t="str">
        <f>IFERROR(__xludf.DUMMYFUNCTION("IFERROR(INDEX(GOOGLEFINANCE(""SPY"", ""close"", A146), 2, 2), """")"),"")</f>
        <v/>
      </c>
      <c r="H146" s="10" t="str">
        <f t="shared" si="1"/>
        <v/>
      </c>
      <c r="I146" s="10" t="str">
        <f t="shared" si="2"/>
        <v/>
      </c>
      <c r="J146" s="2" t="str">
        <f t="shared" si="3"/>
        <v/>
      </c>
    </row>
    <row r="147">
      <c r="A147" s="4">
        <v>46274.0</v>
      </c>
      <c r="B147" s="6">
        <v>487.768</v>
      </c>
      <c r="C147" s="6">
        <v>721.694</v>
      </c>
      <c r="D147" s="6">
        <v>756.851</v>
      </c>
      <c r="E147" s="6">
        <v>778.529</v>
      </c>
      <c r="F147" s="6">
        <v>816.179</v>
      </c>
      <c r="G147" s="10" t="str">
        <f>IFERROR(__xludf.DUMMYFUNCTION("IFERROR(INDEX(GOOGLEFINANCE(""SPY"", ""close"", A147), 2, 2), """")"),"")</f>
        <v/>
      </c>
      <c r="H147" s="10" t="str">
        <f t="shared" si="1"/>
        <v/>
      </c>
      <c r="I147" s="10" t="str">
        <f t="shared" si="2"/>
        <v/>
      </c>
      <c r="J147" s="2" t="str">
        <f t="shared" si="3"/>
        <v/>
      </c>
    </row>
    <row r="148">
      <c r="A148" s="4">
        <v>46275.0</v>
      </c>
      <c r="B148" s="6">
        <v>570.005</v>
      </c>
      <c r="C148" s="6">
        <v>635.931</v>
      </c>
      <c r="D148" s="6">
        <v>762.95</v>
      </c>
      <c r="E148" s="6">
        <v>790.585</v>
      </c>
      <c r="F148" s="6">
        <v>820.994</v>
      </c>
      <c r="G148" s="10" t="str">
        <f>IFERROR(__xludf.DUMMYFUNCTION("IFERROR(INDEX(GOOGLEFINANCE(""SPY"", ""close"", A148), 2, 2), """")"),"")</f>
        <v/>
      </c>
      <c r="H148" s="10" t="str">
        <f t="shared" si="1"/>
        <v/>
      </c>
      <c r="I148" s="10" t="str">
        <f t="shared" si="2"/>
        <v/>
      </c>
      <c r="J148" s="2" t="str">
        <f t="shared" si="3"/>
        <v/>
      </c>
    </row>
    <row r="149">
      <c r="A149" s="4">
        <v>46276.0</v>
      </c>
      <c r="B149" s="6">
        <v>434.291</v>
      </c>
      <c r="C149" s="6">
        <v>732.576</v>
      </c>
      <c r="D149" s="6">
        <v>763.888</v>
      </c>
      <c r="E149" s="6">
        <v>786.304</v>
      </c>
      <c r="F149" s="6">
        <v>881.627</v>
      </c>
      <c r="G149" s="10" t="str">
        <f>IFERROR(__xludf.DUMMYFUNCTION("IFERROR(INDEX(GOOGLEFINANCE(""SPY"", ""close"", A149), 2, 2), """")"),"")</f>
        <v/>
      </c>
      <c r="H149" s="10" t="str">
        <f t="shared" si="1"/>
        <v/>
      </c>
      <c r="I149" s="10" t="str">
        <f t="shared" si="2"/>
        <v/>
      </c>
      <c r="J149" s="2" t="str">
        <f t="shared" si="3"/>
        <v/>
      </c>
    </row>
    <row r="150">
      <c r="A150" s="4">
        <v>46279.0</v>
      </c>
      <c r="B150" s="6">
        <v>412.063</v>
      </c>
      <c r="C150" s="6">
        <v>701.342</v>
      </c>
      <c r="D150" s="6">
        <v>766.246</v>
      </c>
      <c r="E150" s="6">
        <v>790.286</v>
      </c>
      <c r="F150" s="6">
        <v>860.069</v>
      </c>
      <c r="G150" s="10" t="str">
        <f>IFERROR(__xludf.DUMMYFUNCTION("IFERROR(INDEX(GOOGLEFINANCE(""SPY"", ""close"", A150), 2, 2), """")"),"")</f>
        <v/>
      </c>
      <c r="H150" s="10" t="str">
        <f t="shared" si="1"/>
        <v/>
      </c>
      <c r="I150" s="10" t="str">
        <f t="shared" si="2"/>
        <v/>
      </c>
      <c r="J150" s="2" t="str">
        <f t="shared" si="3"/>
        <v/>
      </c>
    </row>
    <row r="151">
      <c r="A151" s="4">
        <v>46280.0</v>
      </c>
      <c r="B151" s="6">
        <v>351.963</v>
      </c>
      <c r="C151" s="6">
        <v>726.202</v>
      </c>
      <c r="D151" s="6">
        <v>763.382</v>
      </c>
      <c r="E151" s="6">
        <v>786.51</v>
      </c>
      <c r="F151" s="6">
        <v>834.194</v>
      </c>
      <c r="G151" s="10" t="str">
        <f>IFERROR(__xludf.DUMMYFUNCTION("IFERROR(INDEX(GOOGLEFINANCE(""SPY"", ""close"", A151), 2, 2), """")"),"")</f>
        <v/>
      </c>
      <c r="H151" s="10" t="str">
        <f t="shared" si="1"/>
        <v/>
      </c>
      <c r="I151" s="10" t="str">
        <f t="shared" si="2"/>
        <v/>
      </c>
      <c r="J151" s="2" t="str">
        <f t="shared" si="3"/>
        <v/>
      </c>
    </row>
    <row r="152">
      <c r="A152" s="4">
        <v>46281.0</v>
      </c>
      <c r="B152" s="6">
        <v>570.318</v>
      </c>
      <c r="C152" s="6">
        <v>697.492</v>
      </c>
      <c r="D152" s="6">
        <v>760.096</v>
      </c>
      <c r="E152" s="6">
        <v>786.914</v>
      </c>
      <c r="F152" s="6">
        <v>836.621</v>
      </c>
      <c r="G152" s="10" t="str">
        <f>IFERROR(__xludf.DUMMYFUNCTION("IFERROR(INDEX(GOOGLEFINANCE(""SPY"", ""close"", A152), 2, 2), """")"),"")</f>
        <v/>
      </c>
      <c r="H152" s="10" t="str">
        <f t="shared" si="1"/>
        <v/>
      </c>
      <c r="I152" s="10" t="str">
        <f t="shared" si="2"/>
        <v/>
      </c>
      <c r="J152" s="2" t="str">
        <f t="shared" si="3"/>
        <v/>
      </c>
    </row>
    <row r="153">
      <c r="A153" s="4">
        <v>46282.0</v>
      </c>
      <c r="B153" s="6">
        <v>388.995</v>
      </c>
      <c r="C153" s="6">
        <v>730.999</v>
      </c>
      <c r="D153" s="6">
        <v>765.932</v>
      </c>
      <c r="E153" s="6">
        <v>799.605</v>
      </c>
      <c r="F153" s="6">
        <v>859.913</v>
      </c>
      <c r="G153" s="10" t="str">
        <f>IFERROR(__xludf.DUMMYFUNCTION("IFERROR(INDEX(GOOGLEFINANCE(""SPY"", ""close"", A153), 2, 2), """")"),"")</f>
        <v/>
      </c>
      <c r="H153" s="10" t="str">
        <f t="shared" si="1"/>
        <v/>
      </c>
      <c r="I153" s="10" t="str">
        <f t="shared" si="2"/>
        <v/>
      </c>
      <c r="J153" s="2" t="str">
        <f t="shared" si="3"/>
        <v/>
      </c>
    </row>
    <row r="154">
      <c r="A154" s="4">
        <v>46283.0</v>
      </c>
      <c r="B154" s="6">
        <v>441.706</v>
      </c>
      <c r="C154" s="6">
        <v>657.988</v>
      </c>
      <c r="D154" s="6">
        <v>767.203</v>
      </c>
      <c r="E154" s="6">
        <v>789.876</v>
      </c>
      <c r="F154" s="6">
        <v>808.795</v>
      </c>
      <c r="G154" s="10" t="str">
        <f>IFERROR(__xludf.DUMMYFUNCTION("IFERROR(INDEX(GOOGLEFINANCE(""SPY"", ""close"", A154), 2, 2), """")"),"")</f>
        <v/>
      </c>
      <c r="H154" s="10" t="str">
        <f t="shared" si="1"/>
        <v/>
      </c>
      <c r="I154" s="10" t="str">
        <f t="shared" si="2"/>
        <v/>
      </c>
      <c r="J154" s="2" t="str">
        <f t="shared" si="3"/>
        <v/>
      </c>
    </row>
    <row r="155">
      <c r="A155" s="4">
        <v>46286.0</v>
      </c>
      <c r="B155" s="6">
        <v>390.71</v>
      </c>
      <c r="C155" s="6">
        <v>693.233</v>
      </c>
      <c r="D155" s="6">
        <v>766.975</v>
      </c>
      <c r="E155" s="6">
        <v>795.96</v>
      </c>
      <c r="F155" s="6">
        <v>844.438</v>
      </c>
      <c r="G155" s="10" t="str">
        <f>IFERROR(__xludf.DUMMYFUNCTION("IFERROR(INDEX(GOOGLEFINANCE(""SPY"", ""close"", A155), 2, 2), """")"),"")</f>
        <v/>
      </c>
      <c r="H155" s="10" t="str">
        <f t="shared" si="1"/>
        <v/>
      </c>
      <c r="I155" s="10" t="str">
        <f t="shared" si="2"/>
        <v/>
      </c>
      <c r="J155" s="2" t="str">
        <f t="shared" si="3"/>
        <v/>
      </c>
    </row>
    <row r="156">
      <c r="A156" s="4">
        <v>46287.0</v>
      </c>
      <c r="B156" s="6">
        <v>625.79</v>
      </c>
      <c r="C156" s="6">
        <v>658.121</v>
      </c>
      <c r="D156" s="6">
        <v>766.284</v>
      </c>
      <c r="E156" s="6">
        <v>795.309</v>
      </c>
      <c r="F156" s="6">
        <v>852.842</v>
      </c>
      <c r="G156" s="10" t="str">
        <f>IFERROR(__xludf.DUMMYFUNCTION("IFERROR(INDEX(GOOGLEFINANCE(""SPY"", ""close"", A156), 2, 2), """")"),"")</f>
        <v/>
      </c>
      <c r="H156" s="10" t="str">
        <f t="shared" si="1"/>
        <v/>
      </c>
      <c r="I156" s="10" t="str">
        <f t="shared" si="2"/>
        <v/>
      </c>
      <c r="J156" s="2" t="str">
        <f t="shared" si="3"/>
        <v/>
      </c>
    </row>
    <row r="157">
      <c r="A157" s="4">
        <v>46288.0</v>
      </c>
      <c r="B157" s="6">
        <v>459.239</v>
      </c>
      <c r="C157" s="6">
        <v>725.422</v>
      </c>
      <c r="D157" s="6">
        <v>763.531</v>
      </c>
      <c r="E157" s="6">
        <v>786.92</v>
      </c>
      <c r="F157" s="6">
        <v>826.267</v>
      </c>
      <c r="G157" s="10" t="str">
        <f>IFERROR(__xludf.DUMMYFUNCTION("IFERROR(INDEX(GOOGLEFINANCE(""SPY"", ""close"", A157), 2, 2), """")"),"")</f>
        <v/>
      </c>
      <c r="H157" s="10" t="str">
        <f t="shared" si="1"/>
        <v/>
      </c>
      <c r="I157" s="10" t="str">
        <f t="shared" si="2"/>
        <v/>
      </c>
      <c r="J157" s="2" t="str">
        <f t="shared" si="3"/>
        <v/>
      </c>
    </row>
    <row r="158">
      <c r="A158" s="4">
        <v>46289.0</v>
      </c>
      <c r="B158" s="6">
        <v>518.99</v>
      </c>
      <c r="C158" s="6">
        <v>665.038</v>
      </c>
      <c r="D158" s="6">
        <v>770.673</v>
      </c>
      <c r="E158" s="6">
        <v>805.408</v>
      </c>
      <c r="F158" s="6">
        <v>828.341</v>
      </c>
      <c r="G158" s="10" t="str">
        <f>IFERROR(__xludf.DUMMYFUNCTION("IFERROR(INDEX(GOOGLEFINANCE(""SPY"", ""close"", A158), 2, 2), """")"),"")</f>
        <v/>
      </c>
      <c r="H158" s="10" t="str">
        <f t="shared" si="1"/>
        <v/>
      </c>
      <c r="I158" s="10" t="str">
        <f t="shared" si="2"/>
        <v/>
      </c>
      <c r="J158" s="2" t="str">
        <f t="shared" si="3"/>
        <v/>
      </c>
    </row>
    <row r="159">
      <c r="A159" s="4">
        <v>46290.0</v>
      </c>
      <c r="B159" s="6">
        <v>484.239</v>
      </c>
      <c r="C159" s="6">
        <v>722.528</v>
      </c>
      <c r="D159" s="6">
        <v>762.767</v>
      </c>
      <c r="E159" s="6">
        <v>796.465</v>
      </c>
      <c r="F159" s="6">
        <v>886.712</v>
      </c>
      <c r="G159" s="10" t="str">
        <f>IFERROR(__xludf.DUMMYFUNCTION("IFERROR(INDEX(GOOGLEFINANCE(""SPY"", ""close"", A159), 2, 2), """")"),"")</f>
        <v/>
      </c>
      <c r="H159" s="10" t="str">
        <f t="shared" si="1"/>
        <v/>
      </c>
      <c r="I159" s="10" t="str">
        <f t="shared" si="2"/>
        <v/>
      </c>
      <c r="J159" s="2" t="str">
        <f t="shared" si="3"/>
        <v/>
      </c>
    </row>
    <row r="160">
      <c r="A160" s="4">
        <v>46293.0</v>
      </c>
      <c r="B160" s="6">
        <v>461.762</v>
      </c>
      <c r="C160" s="6">
        <v>707.033</v>
      </c>
      <c r="D160" s="6">
        <v>775.136</v>
      </c>
      <c r="E160" s="6">
        <v>804.273</v>
      </c>
      <c r="F160" s="6">
        <v>841.135</v>
      </c>
      <c r="G160" s="10" t="str">
        <f>IFERROR(__xludf.DUMMYFUNCTION("IFERROR(INDEX(GOOGLEFINANCE(""SPY"", ""close"", A160), 2, 2), """")"),"")</f>
        <v/>
      </c>
      <c r="H160" s="10" t="str">
        <f t="shared" si="1"/>
        <v/>
      </c>
      <c r="I160" s="10" t="str">
        <f t="shared" si="2"/>
        <v/>
      </c>
      <c r="J160" s="2" t="str">
        <f t="shared" si="3"/>
        <v/>
      </c>
    </row>
    <row r="161">
      <c r="A161" s="4">
        <v>46294.0</v>
      </c>
      <c r="B161" s="6">
        <v>494.561</v>
      </c>
      <c r="C161" s="6">
        <v>687.406</v>
      </c>
      <c r="D161" s="6">
        <v>768.829</v>
      </c>
      <c r="E161" s="6">
        <v>794.479</v>
      </c>
      <c r="F161" s="6">
        <v>836.189</v>
      </c>
      <c r="G161" s="10" t="str">
        <f>IFERROR(__xludf.DUMMYFUNCTION("IFERROR(INDEX(GOOGLEFINANCE(""SPY"", ""close"", A161), 2, 2), """")"),"")</f>
        <v/>
      </c>
      <c r="H161" s="10" t="str">
        <f t="shared" si="1"/>
        <v/>
      </c>
      <c r="I161" s="10" t="str">
        <f t="shared" si="2"/>
        <v/>
      </c>
      <c r="J161" s="2" t="str">
        <f t="shared" si="3"/>
        <v/>
      </c>
    </row>
    <row r="162">
      <c r="A162" s="4">
        <v>46295.0</v>
      </c>
      <c r="B162" s="6">
        <v>414.315</v>
      </c>
      <c r="C162" s="6">
        <v>733.637</v>
      </c>
      <c r="D162" s="6">
        <v>767.403</v>
      </c>
      <c r="E162" s="6">
        <v>794.242</v>
      </c>
      <c r="F162" s="6">
        <v>823.864</v>
      </c>
      <c r="G162" s="10" t="str">
        <f>IFERROR(__xludf.DUMMYFUNCTION("IFERROR(INDEX(GOOGLEFINANCE(""SPY"", ""close"", A162), 2, 2), """")"),"")</f>
        <v/>
      </c>
      <c r="H162" s="10" t="str">
        <f t="shared" si="1"/>
        <v/>
      </c>
      <c r="I162" s="10" t="str">
        <f t="shared" si="2"/>
        <v/>
      </c>
      <c r="J162" s="2" t="str">
        <f t="shared" si="3"/>
        <v/>
      </c>
    </row>
    <row r="163">
      <c r="A163" s="4">
        <v>46296.0</v>
      </c>
      <c r="B163" s="6">
        <v>335.139</v>
      </c>
      <c r="C163" s="6">
        <v>745.687</v>
      </c>
      <c r="D163" s="6">
        <v>770.148</v>
      </c>
      <c r="E163" s="6">
        <v>801.737</v>
      </c>
      <c r="F163" s="6">
        <v>832.45</v>
      </c>
      <c r="G163" s="10" t="str">
        <f>IFERROR(__xludf.DUMMYFUNCTION("IFERROR(INDEX(GOOGLEFINANCE(""SPY"", ""close"", A163), 2, 2), """")"),"")</f>
        <v/>
      </c>
      <c r="H163" s="10" t="str">
        <f t="shared" si="1"/>
        <v/>
      </c>
      <c r="I163" s="10" t="str">
        <f t="shared" si="2"/>
        <v/>
      </c>
      <c r="J163" s="2" t="str">
        <f t="shared" si="3"/>
        <v/>
      </c>
    </row>
    <row r="164">
      <c r="A164" s="4">
        <v>46297.0</v>
      </c>
      <c r="B164" s="6">
        <v>464.038</v>
      </c>
      <c r="C164" s="6">
        <v>735.425</v>
      </c>
      <c r="D164" s="6">
        <v>770.48</v>
      </c>
      <c r="E164" s="6">
        <v>796.23</v>
      </c>
      <c r="F164" s="6">
        <v>880.393</v>
      </c>
      <c r="G164" s="10" t="str">
        <f>IFERROR(__xludf.DUMMYFUNCTION("IFERROR(INDEX(GOOGLEFINANCE(""SPY"", ""close"", A164), 2, 2), """")"),"")</f>
        <v/>
      </c>
      <c r="H164" s="10" t="str">
        <f t="shared" si="1"/>
        <v/>
      </c>
      <c r="I164" s="10" t="str">
        <f t="shared" si="2"/>
        <v/>
      </c>
      <c r="J164" s="2" t="str">
        <f t="shared" si="3"/>
        <v/>
      </c>
    </row>
    <row r="165">
      <c r="A165" s="4">
        <v>46300.0</v>
      </c>
      <c r="B165" s="6">
        <v>404.484</v>
      </c>
      <c r="C165" s="6">
        <v>720.828</v>
      </c>
      <c r="D165" s="6">
        <v>775.912</v>
      </c>
      <c r="E165" s="6">
        <v>797.795</v>
      </c>
      <c r="F165" s="6">
        <v>844.26</v>
      </c>
      <c r="G165" s="10" t="str">
        <f>IFERROR(__xludf.DUMMYFUNCTION("IFERROR(INDEX(GOOGLEFINANCE(""SPY"", ""close"", A165), 2, 2), """")"),"")</f>
        <v/>
      </c>
      <c r="H165" s="10" t="str">
        <f t="shared" si="1"/>
        <v/>
      </c>
      <c r="I165" s="10" t="str">
        <f t="shared" si="2"/>
        <v/>
      </c>
      <c r="J165" s="2" t="str">
        <f t="shared" si="3"/>
        <v/>
      </c>
    </row>
    <row r="166">
      <c r="A166" s="4">
        <v>46301.0</v>
      </c>
      <c r="B166" s="6">
        <v>508.222</v>
      </c>
      <c r="C166" s="6">
        <v>741.348</v>
      </c>
      <c r="D166" s="6">
        <v>767.583</v>
      </c>
      <c r="E166" s="6">
        <v>796.605</v>
      </c>
      <c r="F166" s="6">
        <v>865.353</v>
      </c>
      <c r="G166" s="10" t="str">
        <f>IFERROR(__xludf.DUMMYFUNCTION("IFERROR(INDEX(GOOGLEFINANCE(""SPY"", ""close"", A166), 2, 2), """")"),"")</f>
        <v/>
      </c>
      <c r="H166" s="10" t="str">
        <f t="shared" si="1"/>
        <v/>
      </c>
      <c r="I166" s="10" t="str">
        <f t="shared" si="2"/>
        <v/>
      </c>
      <c r="J166" s="2" t="str">
        <f t="shared" si="3"/>
        <v/>
      </c>
    </row>
    <row r="167">
      <c r="A167" s="4">
        <v>46302.0</v>
      </c>
      <c r="B167" s="6">
        <v>419.758</v>
      </c>
      <c r="C167" s="6">
        <v>735.898</v>
      </c>
      <c r="D167" s="6">
        <v>768.105</v>
      </c>
      <c r="E167" s="6">
        <v>791.126</v>
      </c>
      <c r="F167" s="6">
        <v>807.238</v>
      </c>
      <c r="G167" s="10" t="str">
        <f>IFERROR(__xludf.DUMMYFUNCTION("IFERROR(INDEX(GOOGLEFINANCE(""SPY"", ""close"", A167), 2, 2), """")"),"")</f>
        <v/>
      </c>
      <c r="H167" s="10" t="str">
        <f t="shared" si="1"/>
        <v/>
      </c>
      <c r="I167" s="10" t="str">
        <f t="shared" si="2"/>
        <v/>
      </c>
      <c r="J167" s="2" t="str">
        <f t="shared" si="3"/>
        <v/>
      </c>
    </row>
    <row r="168">
      <c r="A168" s="4">
        <v>46303.0</v>
      </c>
      <c r="B168" s="6">
        <v>474.27</v>
      </c>
      <c r="C168" s="6">
        <v>679.58</v>
      </c>
      <c r="D168" s="6">
        <v>778.27</v>
      </c>
      <c r="E168" s="6">
        <v>807.949</v>
      </c>
      <c r="F168" s="6">
        <v>850.769</v>
      </c>
      <c r="G168" s="10" t="str">
        <f>IFERROR(__xludf.DUMMYFUNCTION("IFERROR(INDEX(GOOGLEFINANCE(""SPY"", ""close"", A168), 2, 2), """")"),"")</f>
        <v/>
      </c>
      <c r="H168" s="10" t="str">
        <f t="shared" si="1"/>
        <v/>
      </c>
      <c r="I168" s="10" t="str">
        <f t="shared" si="2"/>
        <v/>
      </c>
      <c r="J168" s="2" t="str">
        <f t="shared" si="3"/>
        <v/>
      </c>
    </row>
    <row r="169">
      <c r="A169" s="4">
        <v>46304.0</v>
      </c>
      <c r="B169" s="6">
        <v>376.171</v>
      </c>
      <c r="C169" s="6">
        <v>732.579</v>
      </c>
      <c r="D169" s="6">
        <v>772.323</v>
      </c>
      <c r="E169" s="6">
        <v>798.986</v>
      </c>
      <c r="F169" s="6">
        <v>842.714</v>
      </c>
      <c r="G169" s="10" t="str">
        <f>IFERROR(__xludf.DUMMYFUNCTION("IFERROR(INDEX(GOOGLEFINANCE(""SPY"", ""close"", A169), 2, 2), """")"),"")</f>
        <v/>
      </c>
      <c r="H169" s="10" t="str">
        <f t="shared" si="1"/>
        <v/>
      </c>
      <c r="I169" s="10" t="str">
        <f t="shared" si="2"/>
        <v/>
      </c>
      <c r="J169" s="2" t="str">
        <f t="shared" si="3"/>
        <v/>
      </c>
    </row>
    <row r="170">
      <c r="A170" s="4">
        <v>46307.0</v>
      </c>
      <c r="B170" s="6">
        <v>367.29</v>
      </c>
      <c r="C170" s="6">
        <v>731.823</v>
      </c>
      <c r="D170" s="6">
        <v>769.445</v>
      </c>
      <c r="E170" s="6">
        <v>800.017</v>
      </c>
      <c r="F170" s="6">
        <v>852.584</v>
      </c>
      <c r="G170" s="10" t="str">
        <f>IFERROR(__xludf.DUMMYFUNCTION("IFERROR(INDEX(GOOGLEFINANCE(""SPY"", ""close"", A170), 2, 2), """")"),"")</f>
        <v/>
      </c>
      <c r="H170" s="10" t="str">
        <f t="shared" si="1"/>
        <v/>
      </c>
      <c r="I170" s="10" t="str">
        <f t="shared" si="2"/>
        <v/>
      </c>
      <c r="J170" s="2" t="str">
        <f t="shared" si="3"/>
        <v/>
      </c>
    </row>
    <row r="171">
      <c r="A171" s="4">
        <v>46308.0</v>
      </c>
      <c r="B171" s="6">
        <v>421.188</v>
      </c>
      <c r="C171" s="6">
        <v>742.427</v>
      </c>
      <c r="D171" s="6">
        <v>769.354</v>
      </c>
      <c r="E171" s="6">
        <v>794.619</v>
      </c>
      <c r="F171" s="6">
        <v>824.864</v>
      </c>
      <c r="G171" s="10" t="str">
        <f>IFERROR(__xludf.DUMMYFUNCTION("IFERROR(INDEX(GOOGLEFINANCE(""SPY"", ""close"", A171), 2, 2), """")"),"")</f>
        <v/>
      </c>
      <c r="H171" s="10" t="str">
        <f t="shared" si="1"/>
        <v/>
      </c>
      <c r="I171" s="10" t="str">
        <f t="shared" si="2"/>
        <v/>
      </c>
      <c r="J171" s="2" t="str">
        <f t="shared" si="3"/>
        <v/>
      </c>
    </row>
    <row r="172">
      <c r="A172" s="4">
        <v>46309.0</v>
      </c>
      <c r="B172" s="6">
        <v>488.493</v>
      </c>
      <c r="C172" s="6">
        <v>729.763</v>
      </c>
      <c r="D172" s="6">
        <v>764.963</v>
      </c>
      <c r="E172" s="6">
        <v>790.513</v>
      </c>
      <c r="F172" s="6">
        <v>879.106</v>
      </c>
      <c r="G172" s="10" t="str">
        <f>IFERROR(__xludf.DUMMYFUNCTION("IFERROR(INDEX(GOOGLEFINANCE(""SPY"", ""close"", A172), 2, 2), """")"),"")</f>
        <v/>
      </c>
      <c r="H172" s="10" t="str">
        <f t="shared" si="1"/>
        <v/>
      </c>
      <c r="I172" s="10" t="str">
        <f t="shared" si="2"/>
        <v/>
      </c>
      <c r="J172" s="2" t="str">
        <f t="shared" si="3"/>
        <v/>
      </c>
    </row>
    <row r="173">
      <c r="A173" s="4">
        <v>46310.0</v>
      </c>
      <c r="B173" s="6">
        <v>506.88</v>
      </c>
      <c r="C173" s="6">
        <v>683.255</v>
      </c>
      <c r="D173" s="6">
        <v>774.482</v>
      </c>
      <c r="E173" s="6">
        <v>810.276</v>
      </c>
      <c r="F173" s="6">
        <v>872.489</v>
      </c>
      <c r="G173" s="10" t="str">
        <f>IFERROR(__xludf.DUMMYFUNCTION("IFERROR(INDEX(GOOGLEFINANCE(""SPY"", ""close"", A173), 2, 2), """")"),"")</f>
        <v/>
      </c>
      <c r="H173" s="10" t="str">
        <f t="shared" si="1"/>
        <v/>
      </c>
      <c r="I173" s="10" t="str">
        <f t="shared" si="2"/>
        <v/>
      </c>
      <c r="J173" s="2" t="str">
        <f t="shared" si="3"/>
        <v/>
      </c>
    </row>
    <row r="174">
      <c r="A174" s="4">
        <v>46311.0</v>
      </c>
      <c r="B174" s="6">
        <v>364.629</v>
      </c>
      <c r="C174" s="6">
        <v>736.775</v>
      </c>
      <c r="D174" s="6">
        <v>779.204</v>
      </c>
      <c r="E174" s="6">
        <v>801.43</v>
      </c>
      <c r="F174" s="6">
        <v>851.997</v>
      </c>
      <c r="G174" s="10" t="str">
        <f>IFERROR(__xludf.DUMMYFUNCTION("IFERROR(INDEX(GOOGLEFINANCE(""SPY"", ""close"", A174), 2, 2), """")"),"")</f>
        <v/>
      </c>
      <c r="H174" s="10" t="str">
        <f t="shared" si="1"/>
        <v/>
      </c>
      <c r="I174" s="10" t="str">
        <f t="shared" si="2"/>
        <v/>
      </c>
      <c r="J174" s="2" t="str">
        <f t="shared" si="3"/>
        <v/>
      </c>
    </row>
    <row r="175">
      <c r="A175" s="4">
        <v>46314.0</v>
      </c>
      <c r="B175" s="6">
        <v>482.499</v>
      </c>
      <c r="C175" s="6">
        <v>738.655</v>
      </c>
      <c r="D175" s="6">
        <v>774.463</v>
      </c>
      <c r="E175" s="6">
        <v>803.372</v>
      </c>
      <c r="F175" s="6">
        <v>869.541</v>
      </c>
      <c r="G175" s="10" t="str">
        <f>IFERROR(__xludf.DUMMYFUNCTION("IFERROR(INDEX(GOOGLEFINANCE(""SPY"", ""close"", A175), 2, 2), """")"),"")</f>
        <v/>
      </c>
      <c r="H175" s="10" t="str">
        <f t="shared" si="1"/>
        <v/>
      </c>
      <c r="I175" s="10" t="str">
        <f t="shared" si="2"/>
        <v/>
      </c>
      <c r="J175" s="2" t="str">
        <f t="shared" si="3"/>
        <v/>
      </c>
    </row>
    <row r="176">
      <c r="A176" s="4">
        <v>46315.0</v>
      </c>
      <c r="B176" s="6">
        <v>605.999</v>
      </c>
      <c r="C176" s="6">
        <v>738.797</v>
      </c>
      <c r="D176" s="6">
        <v>770.761</v>
      </c>
      <c r="E176" s="6">
        <v>797.652</v>
      </c>
      <c r="F176" s="6">
        <v>824.734</v>
      </c>
      <c r="G176" s="10" t="str">
        <f>IFERROR(__xludf.DUMMYFUNCTION("IFERROR(INDEX(GOOGLEFINANCE(""SPY"", ""close"", A176), 2, 2), """")"),"")</f>
        <v/>
      </c>
      <c r="H176" s="10" t="str">
        <f t="shared" si="1"/>
        <v/>
      </c>
      <c r="I176" s="10" t="str">
        <f t="shared" si="2"/>
        <v/>
      </c>
      <c r="J176" s="2" t="str">
        <f t="shared" si="3"/>
        <v/>
      </c>
    </row>
    <row r="177">
      <c r="A177" s="4">
        <v>46316.0</v>
      </c>
      <c r="B177" s="6">
        <v>466.176</v>
      </c>
      <c r="C177" s="6">
        <v>738.92</v>
      </c>
      <c r="D177" s="6">
        <v>765.173</v>
      </c>
      <c r="E177" s="6">
        <v>787.588</v>
      </c>
      <c r="F177" s="6">
        <v>811.815</v>
      </c>
      <c r="G177" s="10" t="str">
        <f>IFERROR(__xludf.DUMMYFUNCTION("IFERROR(INDEX(GOOGLEFINANCE(""SPY"", ""close"", A177), 2, 2), """")"),"")</f>
        <v/>
      </c>
      <c r="H177" s="10" t="str">
        <f t="shared" si="1"/>
        <v/>
      </c>
      <c r="I177" s="10" t="str">
        <f t="shared" si="2"/>
        <v/>
      </c>
      <c r="J177" s="2" t="str">
        <f t="shared" si="3"/>
        <v/>
      </c>
    </row>
    <row r="178">
      <c r="A178" s="4">
        <v>46317.0</v>
      </c>
      <c r="B178" s="6">
        <v>490.108</v>
      </c>
      <c r="C178" s="6">
        <v>679.246</v>
      </c>
      <c r="D178" s="6">
        <v>778.921</v>
      </c>
      <c r="E178" s="6">
        <v>811.218</v>
      </c>
      <c r="F178" s="6">
        <v>865.685</v>
      </c>
      <c r="G178" s="10" t="str">
        <f>IFERROR(__xludf.DUMMYFUNCTION("IFERROR(INDEX(GOOGLEFINANCE(""SPY"", ""close"", A178), 2, 2), """")"),"")</f>
        <v/>
      </c>
      <c r="H178" s="10" t="str">
        <f t="shared" si="1"/>
        <v/>
      </c>
      <c r="I178" s="10" t="str">
        <f t="shared" si="2"/>
        <v/>
      </c>
      <c r="J178" s="2" t="str">
        <f t="shared" si="3"/>
        <v/>
      </c>
    </row>
    <row r="179">
      <c r="A179" s="4">
        <v>46318.0</v>
      </c>
      <c r="B179" s="6">
        <v>598.936</v>
      </c>
      <c r="C179" s="6">
        <v>648.274</v>
      </c>
      <c r="D179" s="6">
        <v>780.015</v>
      </c>
      <c r="E179" s="6">
        <v>806.317</v>
      </c>
      <c r="F179" s="6">
        <v>818.255</v>
      </c>
      <c r="G179" s="10" t="str">
        <f>IFERROR(__xludf.DUMMYFUNCTION("IFERROR(INDEX(GOOGLEFINANCE(""SPY"", ""close"", A179), 2, 2), """")"),"")</f>
        <v/>
      </c>
      <c r="H179" s="10" t="str">
        <f t="shared" si="1"/>
        <v/>
      </c>
      <c r="I179" s="10" t="str">
        <f t="shared" si="2"/>
        <v/>
      </c>
      <c r="J179" s="2" t="str">
        <f t="shared" si="3"/>
        <v/>
      </c>
    </row>
    <row r="180">
      <c r="A180" s="4">
        <v>46321.0</v>
      </c>
      <c r="B180" s="6">
        <v>457.893</v>
      </c>
      <c r="C180" s="6">
        <v>710.746</v>
      </c>
      <c r="D180" s="6">
        <v>786.04</v>
      </c>
      <c r="E180" s="6">
        <v>815.375</v>
      </c>
      <c r="F180" s="6">
        <v>862.668</v>
      </c>
      <c r="G180" s="10" t="str">
        <f>IFERROR(__xludf.DUMMYFUNCTION("IFERROR(INDEX(GOOGLEFINANCE(""SPY"", ""close"", A180), 2, 2), """")"),"")</f>
        <v/>
      </c>
      <c r="H180" s="10" t="str">
        <f t="shared" si="1"/>
        <v/>
      </c>
      <c r="I180" s="10" t="str">
        <f t="shared" si="2"/>
        <v/>
      </c>
      <c r="J180" s="2" t="str">
        <f t="shared" si="3"/>
        <v/>
      </c>
    </row>
    <row r="181">
      <c r="A181" s="4">
        <v>46322.0</v>
      </c>
      <c r="B181" s="6">
        <v>470.449</v>
      </c>
      <c r="C181" s="6">
        <v>742.886</v>
      </c>
      <c r="D181" s="6">
        <v>780.343</v>
      </c>
      <c r="E181" s="6">
        <v>810.637</v>
      </c>
      <c r="F181" s="6">
        <v>829.444</v>
      </c>
      <c r="G181" s="10" t="str">
        <f>IFERROR(__xludf.DUMMYFUNCTION("IFERROR(INDEX(GOOGLEFINANCE(""SPY"", ""close"", A181), 2, 2), """")"),"")</f>
        <v/>
      </c>
      <c r="H181" s="10" t="str">
        <f t="shared" si="1"/>
        <v/>
      </c>
      <c r="I181" s="10" t="str">
        <f t="shared" si="2"/>
        <v/>
      </c>
      <c r="J181" s="2" t="str">
        <f t="shared" si="3"/>
        <v/>
      </c>
    </row>
    <row r="182">
      <c r="A182" s="4">
        <v>46323.0</v>
      </c>
      <c r="B182" s="6">
        <v>539.291</v>
      </c>
      <c r="C182" s="6">
        <v>693.985</v>
      </c>
      <c r="D182" s="6">
        <v>778.116</v>
      </c>
      <c r="E182" s="6">
        <v>797.823</v>
      </c>
      <c r="F182" s="6">
        <v>815.565</v>
      </c>
      <c r="G182" s="10" t="str">
        <f>IFERROR(__xludf.DUMMYFUNCTION("IFERROR(INDEX(GOOGLEFINANCE(""SPY"", ""close"", A182), 2, 2), """")"),"")</f>
        <v/>
      </c>
      <c r="H182" s="10" t="str">
        <f t="shared" si="1"/>
        <v/>
      </c>
      <c r="I182" s="10" t="str">
        <f t="shared" si="2"/>
        <v/>
      </c>
      <c r="J182" s="2" t="str">
        <f t="shared" si="3"/>
        <v/>
      </c>
    </row>
    <row r="183">
      <c r="A183" s="4">
        <v>46324.0</v>
      </c>
      <c r="B183" s="6">
        <v>484.871</v>
      </c>
      <c r="C183" s="6">
        <v>668.265</v>
      </c>
      <c r="D183" s="6">
        <v>773.651</v>
      </c>
      <c r="E183" s="6">
        <v>799.775</v>
      </c>
      <c r="F183" s="6">
        <v>852.309</v>
      </c>
      <c r="G183" s="10" t="str">
        <f>IFERROR(__xludf.DUMMYFUNCTION("IFERROR(INDEX(GOOGLEFINANCE(""SPY"", ""close"", A183), 2, 2), """")"),"")</f>
        <v/>
      </c>
      <c r="H183" s="10" t="str">
        <f t="shared" si="1"/>
        <v/>
      </c>
      <c r="I183" s="10" t="str">
        <f t="shared" si="2"/>
        <v/>
      </c>
      <c r="J183" s="2" t="str">
        <f t="shared" si="3"/>
        <v/>
      </c>
    </row>
    <row r="184">
      <c r="A184" s="4">
        <v>46325.0</v>
      </c>
      <c r="B184" s="6">
        <v>491.291</v>
      </c>
      <c r="C184" s="6">
        <v>730.476</v>
      </c>
      <c r="D184" s="6">
        <v>777.768</v>
      </c>
      <c r="E184" s="6">
        <v>800.696</v>
      </c>
      <c r="F184" s="6">
        <v>837.119</v>
      </c>
      <c r="G184" s="10" t="str">
        <f>IFERROR(__xludf.DUMMYFUNCTION("IFERROR(INDEX(GOOGLEFINANCE(""SPY"", ""close"", A184), 2, 2), """")"),"")</f>
        <v/>
      </c>
      <c r="H184" s="10" t="str">
        <f t="shared" si="1"/>
        <v/>
      </c>
      <c r="I184" s="10" t="str">
        <f t="shared" si="2"/>
        <v/>
      </c>
      <c r="J184" s="2" t="str">
        <f t="shared" si="3"/>
        <v/>
      </c>
    </row>
    <row r="185">
      <c r="A185" s="4">
        <v>46328.0</v>
      </c>
      <c r="B185" s="6">
        <v>554.137</v>
      </c>
      <c r="C185" s="6">
        <v>613.89</v>
      </c>
      <c r="D185" s="6">
        <v>782.085</v>
      </c>
      <c r="E185" s="6">
        <v>815.894</v>
      </c>
      <c r="F185" s="6">
        <v>837.479</v>
      </c>
      <c r="G185" s="10" t="str">
        <f>IFERROR(__xludf.DUMMYFUNCTION("IFERROR(INDEX(GOOGLEFINANCE(""SPY"", ""close"", A185), 2, 2), """")"),"")</f>
        <v/>
      </c>
      <c r="H185" s="10" t="str">
        <f t="shared" si="1"/>
        <v/>
      </c>
      <c r="I185" s="10" t="str">
        <f t="shared" si="2"/>
        <v/>
      </c>
      <c r="J185" s="2" t="str">
        <f t="shared" si="3"/>
        <v/>
      </c>
    </row>
    <row r="186">
      <c r="A186" s="4">
        <v>46329.0</v>
      </c>
      <c r="B186" s="6">
        <v>470.003</v>
      </c>
      <c r="C186" s="6">
        <v>747.787</v>
      </c>
      <c r="D186" s="6">
        <v>781.526</v>
      </c>
      <c r="E186" s="6">
        <v>809.949</v>
      </c>
      <c r="F186" s="6">
        <v>834.106</v>
      </c>
      <c r="G186" s="10" t="str">
        <f>IFERROR(__xludf.DUMMYFUNCTION("IFERROR(INDEX(GOOGLEFINANCE(""SPY"", ""close"", A186), 2, 2), """")"),"")</f>
        <v/>
      </c>
      <c r="H186" s="10" t="str">
        <f t="shared" si="1"/>
        <v/>
      </c>
      <c r="I186" s="10" t="str">
        <f t="shared" si="2"/>
        <v/>
      </c>
      <c r="J186" s="2" t="str">
        <f t="shared" si="3"/>
        <v/>
      </c>
    </row>
    <row r="187">
      <c r="A187" s="4">
        <v>46330.0</v>
      </c>
      <c r="B187" s="6">
        <v>489.873</v>
      </c>
      <c r="C187" s="6">
        <v>674.476</v>
      </c>
      <c r="D187" s="6">
        <v>768.95</v>
      </c>
      <c r="E187" s="6">
        <v>796.34</v>
      </c>
      <c r="F187" s="6">
        <v>818.509</v>
      </c>
      <c r="G187" s="10" t="str">
        <f>IFERROR(__xludf.DUMMYFUNCTION("IFERROR(INDEX(GOOGLEFINANCE(""SPY"", ""close"", A187), 2, 2), """")"),"")</f>
        <v/>
      </c>
      <c r="H187" s="10" t="str">
        <f t="shared" si="1"/>
        <v/>
      </c>
      <c r="I187" s="10" t="str">
        <f t="shared" si="2"/>
        <v/>
      </c>
      <c r="J187" s="2" t="str">
        <f t="shared" si="3"/>
        <v/>
      </c>
    </row>
    <row r="188">
      <c r="A188" s="4">
        <v>46331.0</v>
      </c>
      <c r="B188" s="6">
        <v>572.519</v>
      </c>
      <c r="C188" s="6">
        <v>643.744</v>
      </c>
      <c r="D188" s="6">
        <v>780.842</v>
      </c>
      <c r="E188" s="6">
        <v>807.277</v>
      </c>
      <c r="F188" s="6">
        <v>866.961</v>
      </c>
      <c r="G188" s="10" t="str">
        <f>IFERROR(__xludf.DUMMYFUNCTION("IFERROR(INDEX(GOOGLEFINANCE(""SPY"", ""close"", A188), 2, 2), """")"),"")</f>
        <v/>
      </c>
      <c r="H188" s="10" t="str">
        <f t="shared" si="1"/>
        <v/>
      </c>
      <c r="I188" s="10" t="str">
        <f t="shared" si="2"/>
        <v/>
      </c>
      <c r="J188" s="2" t="str">
        <f t="shared" si="3"/>
        <v/>
      </c>
    </row>
    <row r="189">
      <c r="A189" s="4">
        <v>46332.0</v>
      </c>
      <c r="B189" s="6">
        <v>424.203</v>
      </c>
      <c r="C189" s="6">
        <v>660.592</v>
      </c>
      <c r="D189" s="6">
        <v>785.084</v>
      </c>
      <c r="E189" s="6">
        <v>811.17</v>
      </c>
      <c r="F189" s="6">
        <v>875.464</v>
      </c>
      <c r="G189" s="10" t="str">
        <f>IFERROR(__xludf.DUMMYFUNCTION("IFERROR(INDEX(GOOGLEFINANCE(""SPY"", ""close"", A189), 2, 2), """")"),"")</f>
        <v/>
      </c>
      <c r="H189" s="10" t="str">
        <f t="shared" si="1"/>
        <v/>
      </c>
      <c r="I189" s="10" t="str">
        <f t="shared" si="2"/>
        <v/>
      </c>
      <c r="J189" s="2" t="str">
        <f t="shared" si="3"/>
        <v/>
      </c>
    </row>
    <row r="190">
      <c r="A190" s="4">
        <v>46335.0</v>
      </c>
      <c r="B190" s="6">
        <v>383.223</v>
      </c>
      <c r="C190" s="6">
        <v>741.376</v>
      </c>
      <c r="D190" s="6">
        <v>776.805</v>
      </c>
      <c r="E190" s="6">
        <v>806.329</v>
      </c>
      <c r="F190" s="6">
        <v>843.485</v>
      </c>
      <c r="G190" s="10" t="str">
        <f>IFERROR(__xludf.DUMMYFUNCTION("IFERROR(INDEX(GOOGLEFINANCE(""SPY"", ""close"", A190), 2, 2), """")"),"")</f>
        <v/>
      </c>
      <c r="H190" s="10" t="str">
        <f t="shared" si="1"/>
        <v/>
      </c>
      <c r="I190" s="10" t="str">
        <f t="shared" si="2"/>
        <v/>
      </c>
      <c r="J190" s="2" t="str">
        <f t="shared" si="3"/>
        <v/>
      </c>
    </row>
    <row r="191">
      <c r="A191" s="4">
        <v>46336.0</v>
      </c>
      <c r="B191" s="6">
        <v>484.068</v>
      </c>
      <c r="C191" s="6">
        <v>749.89</v>
      </c>
      <c r="D191" s="6">
        <v>780.576</v>
      </c>
      <c r="E191" s="6">
        <v>804.691</v>
      </c>
      <c r="F191" s="6">
        <v>844.605</v>
      </c>
      <c r="G191" s="10" t="str">
        <f>IFERROR(__xludf.DUMMYFUNCTION("IFERROR(INDEX(GOOGLEFINANCE(""SPY"", ""close"", A191), 2, 2), """")"),"")</f>
        <v/>
      </c>
      <c r="H191" s="10" t="str">
        <f t="shared" si="1"/>
        <v/>
      </c>
      <c r="I191" s="10" t="str">
        <f t="shared" si="2"/>
        <v/>
      </c>
      <c r="J191" s="2" t="str">
        <f t="shared" si="3"/>
        <v/>
      </c>
    </row>
    <row r="192">
      <c r="A192" s="4">
        <v>46337.0</v>
      </c>
      <c r="B192" s="6">
        <v>455.804</v>
      </c>
      <c r="C192" s="6">
        <v>747.349</v>
      </c>
      <c r="D192" s="6">
        <v>775.723</v>
      </c>
      <c r="E192" s="6">
        <v>799.176</v>
      </c>
      <c r="F192" s="6">
        <v>834.62</v>
      </c>
      <c r="G192" s="10" t="str">
        <f>IFERROR(__xludf.DUMMYFUNCTION("IFERROR(INDEX(GOOGLEFINANCE(""SPY"", ""close"", A192), 2, 2), """")"),"")</f>
        <v/>
      </c>
      <c r="H192" s="10" t="str">
        <f t="shared" si="1"/>
        <v/>
      </c>
      <c r="I192" s="10" t="str">
        <f t="shared" si="2"/>
        <v/>
      </c>
      <c r="J192" s="2" t="str">
        <f t="shared" si="3"/>
        <v/>
      </c>
    </row>
    <row r="193">
      <c r="A193" s="4">
        <v>46338.0</v>
      </c>
      <c r="B193" s="6">
        <v>568.512</v>
      </c>
      <c r="C193" s="6">
        <v>651.363</v>
      </c>
      <c r="D193" s="6">
        <v>782.47</v>
      </c>
      <c r="E193" s="6">
        <v>803.266</v>
      </c>
      <c r="F193" s="6">
        <v>878.132</v>
      </c>
      <c r="G193" s="10" t="str">
        <f>IFERROR(__xludf.DUMMYFUNCTION("IFERROR(INDEX(GOOGLEFINANCE(""SPY"", ""close"", A193), 2, 2), """")"),"")</f>
        <v/>
      </c>
      <c r="H193" s="10" t="str">
        <f t="shared" si="1"/>
        <v/>
      </c>
      <c r="I193" s="10" t="str">
        <f t="shared" si="2"/>
        <v/>
      </c>
      <c r="J193" s="2" t="str">
        <f t="shared" si="3"/>
        <v/>
      </c>
    </row>
    <row r="194">
      <c r="A194" s="4">
        <v>46339.0</v>
      </c>
      <c r="B194" s="6">
        <v>411.825</v>
      </c>
      <c r="C194" s="6">
        <v>660.673</v>
      </c>
      <c r="D194" s="6">
        <v>780.179</v>
      </c>
      <c r="E194" s="6">
        <v>819.231</v>
      </c>
      <c r="F194" s="6">
        <v>868.116</v>
      </c>
      <c r="G194" s="10" t="str">
        <f>IFERROR(__xludf.DUMMYFUNCTION("IFERROR(INDEX(GOOGLEFINANCE(""SPY"", ""close"", A194), 2, 2), """")"),"")</f>
        <v/>
      </c>
      <c r="H194" s="10" t="str">
        <f t="shared" si="1"/>
        <v/>
      </c>
      <c r="I194" s="10" t="str">
        <f t="shared" si="2"/>
        <v/>
      </c>
      <c r="J194" s="2" t="str">
        <f t="shared" si="3"/>
        <v/>
      </c>
    </row>
    <row r="195">
      <c r="A195" s="4">
        <v>46342.0</v>
      </c>
      <c r="B195" s="6">
        <v>588.68</v>
      </c>
      <c r="C195" s="6">
        <v>670.987</v>
      </c>
      <c r="D195" s="6">
        <v>775.715</v>
      </c>
      <c r="E195" s="6">
        <v>805.747</v>
      </c>
      <c r="F195" s="6">
        <v>836.348</v>
      </c>
      <c r="G195" s="10" t="str">
        <f>IFERROR(__xludf.DUMMYFUNCTION("IFERROR(INDEX(GOOGLEFINANCE(""SPY"", ""close"", A195), 2, 2), """")"),"")</f>
        <v/>
      </c>
      <c r="H195" s="10" t="str">
        <f t="shared" si="1"/>
        <v/>
      </c>
      <c r="I195" s="10" t="str">
        <f t="shared" si="2"/>
        <v/>
      </c>
      <c r="J195" s="2" t="str">
        <f t="shared" si="3"/>
        <v/>
      </c>
    </row>
    <row r="196">
      <c r="A196" s="4">
        <v>46343.0</v>
      </c>
      <c r="B196" s="6">
        <v>520.993</v>
      </c>
      <c r="C196" s="6">
        <v>743.315</v>
      </c>
      <c r="D196" s="6">
        <v>776.841</v>
      </c>
      <c r="E196" s="6">
        <v>811.05</v>
      </c>
      <c r="F196" s="6">
        <v>846.436</v>
      </c>
      <c r="G196" s="10" t="str">
        <f>IFERROR(__xludf.DUMMYFUNCTION("IFERROR(INDEX(GOOGLEFINANCE(""SPY"", ""close"", A196), 2, 2), """")"),"")</f>
        <v/>
      </c>
      <c r="H196" s="10" t="str">
        <f t="shared" si="1"/>
        <v/>
      </c>
      <c r="I196" s="10" t="str">
        <f t="shared" si="2"/>
        <v/>
      </c>
      <c r="J196" s="2" t="str">
        <f t="shared" si="3"/>
        <v/>
      </c>
    </row>
    <row r="197">
      <c r="A197" s="4">
        <v>46344.0</v>
      </c>
      <c r="B197" s="6">
        <v>528.303</v>
      </c>
      <c r="C197" s="6">
        <v>720.116</v>
      </c>
      <c r="D197" s="6">
        <v>769.063</v>
      </c>
      <c r="E197" s="6">
        <v>798.869</v>
      </c>
      <c r="F197" s="6">
        <v>868.661</v>
      </c>
      <c r="G197" s="10" t="str">
        <f>IFERROR(__xludf.DUMMYFUNCTION("IFERROR(INDEX(GOOGLEFINANCE(""SPY"", ""close"", A197), 2, 2), """")"),"")</f>
        <v/>
      </c>
      <c r="H197" s="10" t="str">
        <f t="shared" si="1"/>
        <v/>
      </c>
      <c r="I197" s="10" t="str">
        <f t="shared" si="2"/>
        <v/>
      </c>
      <c r="J197" s="2" t="str">
        <f t="shared" si="3"/>
        <v/>
      </c>
    </row>
    <row r="198">
      <c r="A198" s="4">
        <v>46345.0</v>
      </c>
      <c r="B198" s="6">
        <v>382.523</v>
      </c>
      <c r="C198" s="6">
        <v>713.909</v>
      </c>
      <c r="D198" s="6">
        <v>775.424</v>
      </c>
      <c r="E198" s="6">
        <v>804.666</v>
      </c>
      <c r="F198" s="6">
        <v>850.681</v>
      </c>
      <c r="G198" s="10" t="str">
        <f>IFERROR(__xludf.DUMMYFUNCTION("IFERROR(INDEX(GOOGLEFINANCE(""SPY"", ""close"", A198), 2, 2), """")"),"")</f>
        <v/>
      </c>
      <c r="H198" s="10" t="str">
        <f t="shared" si="1"/>
        <v/>
      </c>
      <c r="I198" s="10" t="str">
        <f t="shared" si="2"/>
        <v/>
      </c>
      <c r="J198" s="2" t="str">
        <f t="shared" si="3"/>
        <v/>
      </c>
    </row>
    <row r="199">
      <c r="A199" s="4">
        <v>46346.0</v>
      </c>
      <c r="B199" s="6">
        <v>332.996</v>
      </c>
      <c r="C199" s="6">
        <v>738.583</v>
      </c>
      <c r="D199" s="6">
        <v>781.149</v>
      </c>
      <c r="E199" s="6">
        <v>811.633</v>
      </c>
      <c r="F199" s="6">
        <v>831.014</v>
      </c>
      <c r="G199" s="10" t="str">
        <f>IFERROR(__xludf.DUMMYFUNCTION("IFERROR(INDEX(GOOGLEFINANCE(""SPY"", ""close"", A199), 2, 2), """")"),"")</f>
        <v/>
      </c>
      <c r="H199" s="10" t="str">
        <f t="shared" si="1"/>
        <v/>
      </c>
      <c r="I199" s="10" t="str">
        <f t="shared" si="2"/>
        <v/>
      </c>
      <c r="J199" s="2" t="str">
        <f t="shared" si="3"/>
        <v/>
      </c>
    </row>
    <row r="200">
      <c r="A200" s="4">
        <v>46349.0</v>
      </c>
      <c r="B200" s="6">
        <v>409.501</v>
      </c>
      <c r="C200" s="6">
        <v>652.362</v>
      </c>
      <c r="D200" s="6">
        <v>786.293</v>
      </c>
      <c r="E200" s="6">
        <v>815.397</v>
      </c>
      <c r="F200" s="6">
        <v>877.427</v>
      </c>
      <c r="G200" s="10" t="str">
        <f>IFERROR(__xludf.DUMMYFUNCTION("IFERROR(INDEX(GOOGLEFINANCE(""SPY"", ""close"", A200), 2, 2), """")"),"")</f>
        <v/>
      </c>
      <c r="H200" s="10" t="str">
        <f t="shared" si="1"/>
        <v/>
      </c>
      <c r="I200" s="10" t="str">
        <f t="shared" si="2"/>
        <v/>
      </c>
      <c r="J200" s="2" t="str">
        <f t="shared" si="3"/>
        <v/>
      </c>
    </row>
    <row r="201">
      <c r="A201" s="4">
        <v>46350.0</v>
      </c>
      <c r="B201" s="6">
        <v>516.56</v>
      </c>
      <c r="C201" s="6">
        <v>742.023</v>
      </c>
      <c r="D201" s="6">
        <v>780.538</v>
      </c>
      <c r="E201" s="6">
        <v>804.718</v>
      </c>
      <c r="F201" s="6">
        <v>838.506</v>
      </c>
      <c r="G201" s="10" t="str">
        <f>IFERROR(__xludf.DUMMYFUNCTION("IFERROR(INDEX(GOOGLEFINANCE(""SPY"", ""close"", A201), 2, 2), """")"),"")</f>
        <v/>
      </c>
      <c r="H201" s="10" t="str">
        <f t="shared" si="1"/>
        <v/>
      </c>
      <c r="I201" s="10" t="str">
        <f t="shared" si="2"/>
        <v/>
      </c>
      <c r="J201" s="2" t="str">
        <f t="shared" si="3"/>
        <v/>
      </c>
    </row>
    <row r="202">
      <c r="A202" s="4">
        <v>46351.0</v>
      </c>
      <c r="B202" s="6">
        <v>472.501</v>
      </c>
      <c r="C202" s="6">
        <v>743.302</v>
      </c>
      <c r="D202" s="6">
        <v>785.163</v>
      </c>
      <c r="E202" s="6">
        <v>816.784</v>
      </c>
      <c r="F202" s="6">
        <v>828.312</v>
      </c>
      <c r="G202" s="10" t="str">
        <f>IFERROR(__xludf.DUMMYFUNCTION("IFERROR(INDEX(GOOGLEFINANCE(""SPY"", ""close"", A202), 2, 2), """")"),"")</f>
        <v/>
      </c>
      <c r="H202" s="10" t="str">
        <f t="shared" si="1"/>
        <v/>
      </c>
      <c r="I202" s="10" t="str">
        <f t="shared" si="2"/>
        <v/>
      </c>
      <c r="J202" s="2" t="str">
        <f t="shared" si="3"/>
        <v/>
      </c>
    </row>
    <row r="203">
      <c r="A203" s="4">
        <v>46353.0</v>
      </c>
      <c r="B203" s="6">
        <v>470.424</v>
      </c>
      <c r="C203" s="6">
        <v>672.294</v>
      </c>
      <c r="D203" s="6">
        <v>792.832</v>
      </c>
      <c r="E203" s="6">
        <v>822.429</v>
      </c>
      <c r="F203" s="6">
        <v>838.927</v>
      </c>
      <c r="G203" s="10" t="str">
        <f>IFERROR(__xludf.DUMMYFUNCTION("IFERROR(INDEX(GOOGLEFINANCE(""SPY"", ""close"", A203), 2, 2), """")"),"")</f>
        <v/>
      </c>
      <c r="H203" s="10" t="str">
        <f t="shared" si="1"/>
        <v/>
      </c>
      <c r="I203" s="10" t="str">
        <f t="shared" si="2"/>
        <v/>
      </c>
      <c r="J203" s="2" t="str">
        <f t="shared" si="3"/>
        <v/>
      </c>
    </row>
    <row r="204">
      <c r="A204" s="4">
        <v>46356.0</v>
      </c>
      <c r="B204" s="6">
        <v>445.944</v>
      </c>
      <c r="C204" s="6">
        <v>743.198</v>
      </c>
      <c r="D204" s="6">
        <v>793.822</v>
      </c>
      <c r="E204" s="6">
        <v>826.082</v>
      </c>
      <c r="F204" s="6">
        <v>879.414</v>
      </c>
      <c r="G204" s="10" t="str">
        <f>IFERROR(__xludf.DUMMYFUNCTION("IFERROR(INDEX(GOOGLEFINANCE(""SPY"", ""close"", A204), 2, 2), """")"),"")</f>
        <v/>
      </c>
      <c r="H204" s="10" t="str">
        <f t="shared" si="1"/>
        <v/>
      </c>
      <c r="I204" s="10" t="str">
        <f t="shared" si="2"/>
        <v/>
      </c>
      <c r="J204" s="2" t="str">
        <f t="shared" si="3"/>
        <v/>
      </c>
    </row>
    <row r="205">
      <c r="A205" s="4">
        <v>46357.0</v>
      </c>
      <c r="B205" s="6">
        <v>523.77</v>
      </c>
      <c r="C205" s="6">
        <v>706.811</v>
      </c>
      <c r="D205" s="6">
        <v>786.208</v>
      </c>
      <c r="E205" s="6">
        <v>816.072</v>
      </c>
      <c r="F205" s="6">
        <v>876.889</v>
      </c>
      <c r="G205" s="10" t="str">
        <f>IFERROR(__xludf.DUMMYFUNCTION("IFERROR(INDEX(GOOGLEFINANCE(""SPY"", ""close"", A205), 2, 2), """")"),"")</f>
        <v/>
      </c>
      <c r="H205" s="10" t="str">
        <f t="shared" si="1"/>
        <v/>
      </c>
      <c r="I205" s="10" t="str">
        <f t="shared" si="2"/>
        <v/>
      </c>
      <c r="J205" s="2" t="str">
        <f t="shared" si="3"/>
        <v/>
      </c>
    </row>
    <row r="206">
      <c r="A206" s="4">
        <v>46358.0</v>
      </c>
      <c r="B206" s="6">
        <v>430.329</v>
      </c>
      <c r="C206" s="6">
        <v>741.092</v>
      </c>
      <c r="D206" s="6">
        <v>780.991</v>
      </c>
      <c r="E206" s="6">
        <v>805.899</v>
      </c>
      <c r="F206" s="6">
        <v>856.128</v>
      </c>
      <c r="G206" s="10" t="str">
        <f>IFERROR(__xludf.DUMMYFUNCTION("IFERROR(INDEX(GOOGLEFINANCE(""SPY"", ""close"", A206), 2, 2), """")"),"")</f>
        <v/>
      </c>
      <c r="H206" s="10" t="str">
        <f t="shared" si="1"/>
        <v/>
      </c>
      <c r="I206" s="10" t="str">
        <f t="shared" si="2"/>
        <v/>
      </c>
      <c r="J206" s="2" t="str">
        <f t="shared" si="3"/>
        <v/>
      </c>
    </row>
    <row r="207">
      <c r="A207" s="4">
        <v>46359.0</v>
      </c>
      <c r="B207" s="6">
        <v>418.153</v>
      </c>
      <c r="C207" s="6">
        <v>670.228</v>
      </c>
      <c r="D207" s="6">
        <v>786.537</v>
      </c>
      <c r="E207" s="6">
        <v>820.035</v>
      </c>
      <c r="F207" s="6">
        <v>874.522</v>
      </c>
      <c r="G207" s="10" t="str">
        <f>IFERROR(__xludf.DUMMYFUNCTION("IFERROR(INDEX(GOOGLEFINANCE(""SPY"", ""close"", A207), 2, 2), """")"),"")</f>
        <v/>
      </c>
      <c r="H207" s="10" t="str">
        <f t="shared" si="1"/>
        <v/>
      </c>
      <c r="I207" s="10" t="str">
        <f t="shared" si="2"/>
        <v/>
      </c>
      <c r="J207" s="2" t="str">
        <f t="shared" si="3"/>
        <v/>
      </c>
    </row>
    <row r="208">
      <c r="A208" s="4">
        <v>46360.0</v>
      </c>
      <c r="B208" s="6">
        <v>458.217</v>
      </c>
      <c r="C208" s="6">
        <v>750.847</v>
      </c>
      <c r="D208" s="6">
        <v>789.156</v>
      </c>
      <c r="E208" s="6">
        <v>811.805</v>
      </c>
      <c r="F208" s="6">
        <v>879.838</v>
      </c>
      <c r="G208" s="10" t="str">
        <f>IFERROR(__xludf.DUMMYFUNCTION("IFERROR(INDEX(GOOGLEFINANCE(""SPY"", ""close"", A208), 2, 2), """")"),"")</f>
        <v/>
      </c>
      <c r="H208" s="10" t="str">
        <f t="shared" si="1"/>
        <v/>
      </c>
      <c r="I208" s="10" t="str">
        <f t="shared" si="2"/>
        <v/>
      </c>
      <c r="J208" s="2" t="str">
        <f t="shared" si="3"/>
        <v/>
      </c>
    </row>
    <row r="209">
      <c r="A209" s="4">
        <v>46363.0</v>
      </c>
      <c r="B209" s="6">
        <v>443.121</v>
      </c>
      <c r="C209" s="6">
        <v>742.803</v>
      </c>
      <c r="D209" s="6">
        <v>787.378</v>
      </c>
      <c r="E209" s="6">
        <v>818.475</v>
      </c>
      <c r="F209" s="6">
        <v>839.926</v>
      </c>
      <c r="G209" s="10" t="str">
        <f>IFERROR(__xludf.DUMMYFUNCTION("IFERROR(INDEX(GOOGLEFINANCE(""SPY"", ""close"", A209), 2, 2), """")"),"")</f>
        <v/>
      </c>
      <c r="H209" s="10" t="str">
        <f t="shared" si="1"/>
        <v/>
      </c>
      <c r="I209" s="10" t="str">
        <f t="shared" si="2"/>
        <v/>
      </c>
      <c r="J209" s="2" t="str">
        <f t="shared" si="3"/>
        <v/>
      </c>
    </row>
    <row r="210">
      <c r="A210" s="4">
        <v>46364.0</v>
      </c>
      <c r="B210" s="6">
        <v>522.713</v>
      </c>
      <c r="C210" s="6">
        <v>757.775</v>
      </c>
      <c r="D210" s="6">
        <v>791.554</v>
      </c>
      <c r="E210" s="6">
        <v>819.947</v>
      </c>
      <c r="F210" s="6">
        <v>1044.635</v>
      </c>
      <c r="G210" s="10" t="str">
        <f>IFERROR(__xludf.DUMMYFUNCTION("IFERROR(INDEX(GOOGLEFINANCE(""SPY"", ""close"", A210), 2, 2), """")"),"")</f>
        <v/>
      </c>
      <c r="H210" s="10" t="str">
        <f t="shared" si="1"/>
        <v/>
      </c>
      <c r="I210" s="10" t="str">
        <f t="shared" si="2"/>
        <v/>
      </c>
      <c r="J210" s="2" t="str">
        <f t="shared" si="3"/>
        <v/>
      </c>
    </row>
    <row r="211">
      <c r="A211" s="4">
        <v>46365.0</v>
      </c>
      <c r="B211" s="6">
        <v>375.492</v>
      </c>
      <c r="C211" s="6">
        <v>754.597</v>
      </c>
      <c r="D211" s="6">
        <v>780.535</v>
      </c>
      <c r="E211" s="6">
        <v>804.985</v>
      </c>
      <c r="F211" s="6">
        <v>836.792</v>
      </c>
      <c r="G211" s="10" t="str">
        <f>IFERROR(__xludf.DUMMYFUNCTION("IFERROR(INDEX(GOOGLEFINANCE(""SPY"", ""close"", A211), 2, 2), """")"),"")</f>
        <v/>
      </c>
      <c r="H211" s="10" t="str">
        <f t="shared" si="1"/>
        <v/>
      </c>
      <c r="I211" s="10" t="str">
        <f t="shared" si="2"/>
        <v/>
      </c>
      <c r="J211" s="2" t="str">
        <f t="shared" si="3"/>
        <v/>
      </c>
    </row>
    <row r="212">
      <c r="A212" s="4">
        <v>46366.0</v>
      </c>
      <c r="B212" s="6">
        <v>506.574</v>
      </c>
      <c r="C212" s="6">
        <v>647.369</v>
      </c>
      <c r="D212" s="6">
        <v>782.391</v>
      </c>
      <c r="E212" s="6">
        <v>810.992</v>
      </c>
      <c r="F212" s="6">
        <v>846.548</v>
      </c>
      <c r="G212" s="10" t="str">
        <f>IFERROR(__xludf.DUMMYFUNCTION("IFERROR(INDEX(GOOGLEFINANCE(""SPY"", ""close"", A212), 2, 2), """")"),"")</f>
        <v/>
      </c>
      <c r="H212" s="10" t="str">
        <f t="shared" si="1"/>
        <v/>
      </c>
      <c r="I212" s="10" t="str">
        <f t="shared" si="2"/>
        <v/>
      </c>
      <c r="J212" s="2" t="str">
        <f t="shared" si="3"/>
        <v/>
      </c>
    </row>
    <row r="213">
      <c r="A213" s="4">
        <v>46367.0</v>
      </c>
      <c r="B213" s="6">
        <v>513.079</v>
      </c>
      <c r="C213" s="6">
        <v>682.582</v>
      </c>
      <c r="D213" s="6">
        <v>790.16</v>
      </c>
      <c r="E213" s="6">
        <v>815.581</v>
      </c>
      <c r="F213" s="6">
        <v>910.575</v>
      </c>
      <c r="G213" s="10" t="str">
        <f>IFERROR(__xludf.DUMMYFUNCTION("IFERROR(INDEX(GOOGLEFINANCE(""SPY"", ""close"", A213), 2, 2), """")"),"")</f>
        <v/>
      </c>
      <c r="H213" s="10" t="str">
        <f t="shared" si="1"/>
        <v/>
      </c>
      <c r="I213" s="10" t="str">
        <f t="shared" si="2"/>
        <v/>
      </c>
      <c r="J213" s="2" t="str">
        <f t="shared" si="3"/>
        <v/>
      </c>
    </row>
    <row r="214">
      <c r="A214" s="4">
        <v>46370.0</v>
      </c>
      <c r="B214" s="6">
        <v>524.389</v>
      </c>
      <c r="C214" s="6">
        <v>700.23</v>
      </c>
      <c r="D214" s="6">
        <v>791.729</v>
      </c>
      <c r="E214" s="6">
        <v>819.196</v>
      </c>
      <c r="F214" s="6">
        <v>871.717</v>
      </c>
      <c r="G214" s="10" t="str">
        <f>IFERROR(__xludf.DUMMYFUNCTION("IFERROR(INDEX(GOOGLEFINANCE(""SPY"", ""close"", A214), 2, 2), """")"),"")</f>
        <v/>
      </c>
      <c r="H214" s="10" t="str">
        <f t="shared" si="1"/>
        <v/>
      </c>
      <c r="I214" s="10" t="str">
        <f t="shared" si="2"/>
        <v/>
      </c>
      <c r="J214" s="2" t="str">
        <f t="shared" si="3"/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46121.0</v>
      </c>
      <c r="B2" s="1">
        <v>653.73</v>
      </c>
      <c r="C2" s="1">
        <v>675.169</v>
      </c>
      <c r="D2" s="1">
        <v>723.658</v>
      </c>
    </row>
    <row r="3">
      <c r="A3" s="2">
        <v>46122.0</v>
      </c>
      <c r="B3" s="1">
        <v>642.575</v>
      </c>
      <c r="C3" s="1">
        <v>686.696</v>
      </c>
      <c r="D3" s="1">
        <v>719.83</v>
      </c>
    </row>
    <row r="4">
      <c r="A4" s="2">
        <v>46125.0</v>
      </c>
      <c r="B4" s="1">
        <v>649.104</v>
      </c>
      <c r="C4" s="1">
        <v>673.014</v>
      </c>
      <c r="D4" s="1">
        <v>712.024</v>
      </c>
    </row>
    <row r="5">
      <c r="A5" s="2">
        <v>46126.0</v>
      </c>
      <c r="B5" s="1">
        <v>646.344</v>
      </c>
      <c r="C5" s="1">
        <v>682.584</v>
      </c>
      <c r="D5" s="1">
        <v>705.154</v>
      </c>
    </row>
    <row r="6">
      <c r="A6" s="2">
        <v>46127.0</v>
      </c>
      <c r="B6" s="1">
        <v>663.38</v>
      </c>
      <c r="C6" s="1">
        <v>678.981</v>
      </c>
      <c r="D6" s="1">
        <v>704.288</v>
      </c>
    </row>
    <row r="7">
      <c r="A7" s="2">
        <v>46128.0</v>
      </c>
      <c r="B7" s="1">
        <v>657.751</v>
      </c>
      <c r="C7" s="1">
        <v>676.509</v>
      </c>
      <c r="D7" s="1">
        <v>722.67</v>
      </c>
    </row>
    <row r="8">
      <c r="A8" s="2">
        <v>46129.0</v>
      </c>
      <c r="B8" s="1">
        <v>666.276</v>
      </c>
      <c r="C8" s="1">
        <v>678.944</v>
      </c>
      <c r="D8" s="1">
        <v>718.123</v>
      </c>
    </row>
    <row r="9">
      <c r="A9" s="2">
        <v>46132.0</v>
      </c>
      <c r="B9" s="1">
        <v>601.717</v>
      </c>
      <c r="C9" s="1">
        <v>688.973</v>
      </c>
      <c r="D9" s="1">
        <v>729.78</v>
      </c>
    </row>
    <row r="10">
      <c r="A10" s="2">
        <v>46133.0</v>
      </c>
      <c r="B10" s="1">
        <v>641.303</v>
      </c>
      <c r="C10" s="1">
        <v>688.798</v>
      </c>
      <c r="D10" s="1">
        <v>728.039</v>
      </c>
    </row>
    <row r="11">
      <c r="A11" s="2">
        <v>46134.0</v>
      </c>
      <c r="B11" s="1">
        <v>654.839</v>
      </c>
      <c r="C11" s="1">
        <v>683.433</v>
      </c>
      <c r="D11" s="1">
        <v>700.95</v>
      </c>
    </row>
    <row r="12">
      <c r="A12" s="2">
        <v>46135.0</v>
      </c>
      <c r="B12" s="1">
        <v>654.251</v>
      </c>
      <c r="C12" s="1">
        <v>681.789</v>
      </c>
      <c r="D12" s="1">
        <v>730.929</v>
      </c>
    </row>
    <row r="13">
      <c r="A13" s="2">
        <v>46136.0</v>
      </c>
      <c r="B13" s="1">
        <v>660.891</v>
      </c>
      <c r="C13" s="1">
        <v>676.323</v>
      </c>
      <c r="D13" s="1">
        <v>711.704</v>
      </c>
    </row>
    <row r="14">
      <c r="A14" s="2">
        <v>46139.0</v>
      </c>
      <c r="B14" s="1">
        <v>620.718</v>
      </c>
      <c r="C14" s="1">
        <v>690.119</v>
      </c>
      <c r="D14" s="1">
        <v>719.902</v>
      </c>
    </row>
    <row r="15">
      <c r="A15" s="2">
        <v>46140.0</v>
      </c>
      <c r="B15" s="1">
        <v>642.199</v>
      </c>
      <c r="C15" s="1">
        <v>688.669</v>
      </c>
      <c r="D15" s="1">
        <v>722.781</v>
      </c>
    </row>
    <row r="16">
      <c r="A16" s="2">
        <v>46141.0</v>
      </c>
      <c r="B16" s="1">
        <v>639.836</v>
      </c>
      <c r="C16" s="1">
        <v>690.914</v>
      </c>
      <c r="D16" s="1">
        <v>728.91</v>
      </c>
    </row>
    <row r="17">
      <c r="A17" s="2">
        <v>46142.0</v>
      </c>
      <c r="B17" s="1">
        <v>668.177</v>
      </c>
      <c r="C17" s="1">
        <v>682.533</v>
      </c>
      <c r="D17" s="1">
        <v>725.908</v>
      </c>
    </row>
    <row r="18">
      <c r="A18" s="2">
        <v>46143.0</v>
      </c>
      <c r="B18" s="1">
        <v>634.625</v>
      </c>
      <c r="C18" s="1">
        <v>690.904</v>
      </c>
      <c r="D18" s="1">
        <v>738.294</v>
      </c>
    </row>
    <row r="19">
      <c r="A19" s="2">
        <v>46146.0</v>
      </c>
      <c r="B19" s="1">
        <v>597.961</v>
      </c>
      <c r="C19" s="1">
        <v>680.775</v>
      </c>
      <c r="D19" s="1">
        <v>727.602</v>
      </c>
    </row>
    <row r="20">
      <c r="A20" s="2">
        <v>46147.0</v>
      </c>
      <c r="B20" s="1">
        <v>668.191</v>
      </c>
      <c r="C20" s="1">
        <v>682.564</v>
      </c>
      <c r="D20" s="1">
        <v>723.899</v>
      </c>
    </row>
    <row r="21">
      <c r="A21" s="2">
        <v>46148.0</v>
      </c>
      <c r="B21" s="1">
        <v>656.257</v>
      </c>
      <c r="C21" s="1">
        <v>677.348</v>
      </c>
      <c r="D21" s="1">
        <v>724.269</v>
      </c>
    </row>
    <row r="22">
      <c r="A22" s="2">
        <v>46149.0</v>
      </c>
      <c r="B22" s="1">
        <v>681.565</v>
      </c>
      <c r="C22" s="1">
        <v>696.641</v>
      </c>
      <c r="D22" s="1">
        <v>768.882</v>
      </c>
    </row>
    <row r="23">
      <c r="A23" s="2">
        <v>46150.0</v>
      </c>
      <c r="B23" s="1">
        <v>659.443</v>
      </c>
      <c r="C23" s="1">
        <v>686.609</v>
      </c>
      <c r="D23" s="1">
        <v>721.662</v>
      </c>
    </row>
    <row r="24">
      <c r="A24" s="2">
        <v>46153.0</v>
      </c>
      <c r="B24" s="1">
        <v>603.391</v>
      </c>
      <c r="C24" s="1">
        <v>677.601</v>
      </c>
      <c r="D24" s="1">
        <v>726.004</v>
      </c>
    </row>
    <row r="25">
      <c r="A25" s="2">
        <v>46154.0</v>
      </c>
      <c r="B25" s="1">
        <v>631.823</v>
      </c>
      <c r="C25" s="1">
        <v>680.712</v>
      </c>
      <c r="D25" s="1">
        <v>715.306</v>
      </c>
    </row>
    <row r="26">
      <c r="A26" s="2">
        <v>46155.0</v>
      </c>
      <c r="B26" s="1">
        <v>646.463</v>
      </c>
      <c r="C26" s="1">
        <v>686.859</v>
      </c>
      <c r="D26" s="1">
        <v>723.826</v>
      </c>
    </row>
    <row r="27">
      <c r="A27" s="2">
        <v>46156.0</v>
      </c>
      <c r="B27" s="1">
        <v>657.211</v>
      </c>
      <c r="C27" s="1">
        <v>673.546</v>
      </c>
      <c r="D27" s="1">
        <v>727.031</v>
      </c>
    </row>
    <row r="28">
      <c r="A28" s="2">
        <v>46157.0</v>
      </c>
      <c r="B28" s="1">
        <v>667.578</v>
      </c>
      <c r="C28" s="1">
        <v>684.287</v>
      </c>
      <c r="D28" s="1">
        <v>736.645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6</v>
      </c>
      <c r="D1" s="5" t="s">
        <v>2</v>
      </c>
      <c r="E1" s="5" t="s">
        <v>7</v>
      </c>
      <c r="F1" s="5" t="s">
        <v>3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8">
        <v>45848.0</v>
      </c>
      <c r="B2" s="9">
        <v>63.051</v>
      </c>
      <c r="C2" s="9">
        <v>72.309</v>
      </c>
      <c r="D2" s="9">
        <v>80.277</v>
      </c>
      <c r="E2" s="9">
        <v>89.317</v>
      </c>
      <c r="F2" s="9">
        <v>105.42</v>
      </c>
      <c r="G2" s="10">
        <f>IFERROR(__xludf.DUMMYFUNCTION("IFERROR(INDEX(GOOGLEFINANCE(""PLTR"", ""close"", A2), 2, 2), """")"),142.5)</f>
        <v>142.5</v>
      </c>
      <c r="H2" s="10" t="b">
        <f t="shared" ref="H2:H247" si="1">IF(OR(G2="", D2=""), "", G2 &gt;= D2)</f>
        <v>1</v>
      </c>
      <c r="I2" s="10" t="b">
        <f t="shared" ref="I2:I247" si="2">IF(OR(G2="", B2=""), "", G2 &gt;= B2)</f>
        <v>1</v>
      </c>
      <c r="J2" s="2" t="b">
        <f t="shared" ref="J2:J247" si="3">IF(OR(G2="", F2=""), "", G2 &gt;= F2)</f>
        <v>1</v>
      </c>
    </row>
    <row r="3">
      <c r="A3" s="8">
        <v>45849.0</v>
      </c>
      <c r="B3" s="9">
        <v>56.13</v>
      </c>
      <c r="C3" s="9">
        <v>66.201</v>
      </c>
      <c r="D3" s="9">
        <v>73.771</v>
      </c>
      <c r="E3" s="9">
        <v>81.722</v>
      </c>
      <c r="F3" s="9">
        <v>95.68</v>
      </c>
      <c r="G3" s="10">
        <f>IFERROR(__xludf.DUMMYFUNCTION("IFERROR(INDEX(GOOGLEFINANCE(""PLTR"", ""close"", A3), 2, 2), """")"),142.1)</f>
        <v>142.1</v>
      </c>
      <c r="H3" s="10" t="b">
        <f t="shared" si="1"/>
        <v>1</v>
      </c>
      <c r="I3" s="10" t="b">
        <f t="shared" si="2"/>
        <v>1</v>
      </c>
      <c r="J3" s="2" t="b">
        <f t="shared" si="3"/>
        <v>1</v>
      </c>
    </row>
    <row r="4">
      <c r="A4" s="8">
        <v>45854.0</v>
      </c>
      <c r="B4" s="9">
        <v>69.423</v>
      </c>
      <c r="C4" s="9">
        <v>77.066</v>
      </c>
      <c r="D4" s="9">
        <v>85.264</v>
      </c>
      <c r="E4" s="9">
        <v>94.274</v>
      </c>
      <c r="F4" s="9">
        <v>109.403</v>
      </c>
      <c r="G4" s="10">
        <f>IFERROR(__xludf.DUMMYFUNCTION("IFERROR(INDEX(GOOGLEFINANCE(""PLTR"", ""close"", A4), 2, 2), """")"),150.91)</f>
        <v>150.91</v>
      </c>
      <c r="H4" s="10" t="b">
        <f t="shared" si="1"/>
        <v>1</v>
      </c>
      <c r="I4" s="10" t="b">
        <f t="shared" si="2"/>
        <v>1</v>
      </c>
      <c r="J4" s="2" t="b">
        <f t="shared" si="3"/>
        <v>1</v>
      </c>
    </row>
    <row r="5">
      <c r="A5" s="8">
        <v>45855.0</v>
      </c>
      <c r="B5" s="9">
        <v>64.336</v>
      </c>
      <c r="C5" s="9">
        <v>72.199</v>
      </c>
      <c r="D5" s="9">
        <v>81.493</v>
      </c>
      <c r="E5" s="9">
        <v>90.783</v>
      </c>
      <c r="F5" s="9">
        <v>110.509</v>
      </c>
      <c r="G5" s="10">
        <f>IFERROR(__xludf.DUMMYFUNCTION("IFERROR(INDEX(GOOGLEFINANCE(""PLTR"", ""close"", A5), 2, 2), """")"),153.99)</f>
        <v>153.99</v>
      </c>
      <c r="H5" s="10" t="b">
        <f t="shared" si="1"/>
        <v>1</v>
      </c>
      <c r="I5" s="10" t="b">
        <f t="shared" si="2"/>
        <v>1</v>
      </c>
      <c r="J5" s="2" t="b">
        <f t="shared" si="3"/>
        <v>1</v>
      </c>
    </row>
    <row r="6">
      <c r="A6" s="8">
        <v>45856.0</v>
      </c>
      <c r="B6" s="9">
        <v>52.815</v>
      </c>
      <c r="C6" s="9">
        <v>62.783</v>
      </c>
      <c r="D6" s="9">
        <v>71.06</v>
      </c>
      <c r="E6" s="9">
        <v>80.896</v>
      </c>
      <c r="F6" s="9">
        <v>96.56</v>
      </c>
      <c r="G6" s="10">
        <f>IFERROR(__xludf.DUMMYFUNCTION("IFERROR(INDEX(GOOGLEFINANCE(""PLTR"", ""close"", A6), 2, 2), """")"),153.52)</f>
        <v>153.52</v>
      </c>
      <c r="H6" s="10" t="b">
        <f t="shared" si="1"/>
        <v>1</v>
      </c>
      <c r="I6" s="10" t="b">
        <f t="shared" si="2"/>
        <v>1</v>
      </c>
      <c r="J6" s="2" t="b">
        <f t="shared" si="3"/>
        <v>1</v>
      </c>
    </row>
    <row r="7">
      <c r="A7" s="8">
        <v>45859.0</v>
      </c>
      <c r="B7" s="9">
        <v>63.17</v>
      </c>
      <c r="C7" s="9">
        <v>71.72</v>
      </c>
      <c r="D7" s="9">
        <v>81.043</v>
      </c>
      <c r="E7" s="9">
        <v>91.399</v>
      </c>
      <c r="F7" s="9">
        <v>107.173</v>
      </c>
      <c r="G7" s="10">
        <f>IFERROR(__xludf.DUMMYFUNCTION("IFERROR(INDEX(GOOGLEFINANCE(""PLTR"", ""close"", A7), 2, 2), """")"),151.79)</f>
        <v>151.79</v>
      </c>
      <c r="H7" s="10" t="b">
        <f t="shared" si="1"/>
        <v>1</v>
      </c>
      <c r="I7" s="10" t="b">
        <f t="shared" si="2"/>
        <v>1</v>
      </c>
      <c r="J7" s="2" t="b">
        <f t="shared" si="3"/>
        <v>1</v>
      </c>
    </row>
    <row r="8">
      <c r="A8" s="8">
        <v>45860.0</v>
      </c>
      <c r="B8" s="9">
        <v>67.581</v>
      </c>
      <c r="C8" s="9">
        <v>76.913</v>
      </c>
      <c r="D8" s="9">
        <v>86.123</v>
      </c>
      <c r="E8" s="9">
        <v>95.754</v>
      </c>
      <c r="F8" s="9">
        <v>111.306</v>
      </c>
      <c r="G8" s="10">
        <f>IFERROR(__xludf.DUMMYFUNCTION("IFERROR(INDEX(GOOGLEFINANCE(""PLTR"", ""close"", A8), 2, 2), """")"),149.07)</f>
        <v>149.07</v>
      </c>
      <c r="H8" s="10" t="b">
        <f t="shared" si="1"/>
        <v>1</v>
      </c>
      <c r="I8" s="10" t="b">
        <f t="shared" si="2"/>
        <v>1</v>
      </c>
      <c r="J8" s="2" t="b">
        <f t="shared" si="3"/>
        <v>1</v>
      </c>
    </row>
    <row r="9">
      <c r="A9" s="8">
        <v>45863.0</v>
      </c>
      <c r="B9" s="9">
        <v>52.213</v>
      </c>
      <c r="C9" s="9">
        <v>62.579</v>
      </c>
      <c r="D9" s="9">
        <v>71.618</v>
      </c>
      <c r="E9" s="9">
        <v>80.868</v>
      </c>
      <c r="F9" s="9">
        <v>91.008</v>
      </c>
      <c r="G9" s="10">
        <f>IFERROR(__xludf.DUMMYFUNCTION("IFERROR(INDEX(GOOGLEFINANCE(""PLTR"", ""close"", A9), 2, 2), """")"),158.8)</f>
        <v>158.8</v>
      </c>
      <c r="H9" s="10" t="b">
        <f t="shared" si="1"/>
        <v>1</v>
      </c>
      <c r="I9" s="10" t="b">
        <f t="shared" si="2"/>
        <v>1</v>
      </c>
      <c r="J9" s="2" t="b">
        <f t="shared" si="3"/>
        <v>1</v>
      </c>
    </row>
    <row r="10">
      <c r="A10" s="8">
        <v>45866.0</v>
      </c>
      <c r="B10" s="9">
        <v>58.856</v>
      </c>
      <c r="C10" s="9">
        <v>70.627</v>
      </c>
      <c r="D10" s="9">
        <v>80.121</v>
      </c>
      <c r="E10" s="9">
        <v>90.635</v>
      </c>
      <c r="F10" s="9">
        <v>104.935</v>
      </c>
      <c r="G10" s="10">
        <f>IFERROR(__xludf.DUMMYFUNCTION("IFERROR(INDEX(GOOGLEFINANCE(""PLTR"", ""close"", A10), 2, 2), """")"),157.88)</f>
        <v>157.88</v>
      </c>
      <c r="H10" s="10" t="b">
        <f t="shared" si="1"/>
        <v>1</v>
      </c>
      <c r="I10" s="10" t="b">
        <f t="shared" si="2"/>
        <v>1</v>
      </c>
      <c r="J10" s="2" t="b">
        <f t="shared" si="3"/>
        <v>1</v>
      </c>
    </row>
    <row r="11">
      <c r="A11" s="8">
        <v>45867.0</v>
      </c>
      <c r="B11" s="9">
        <v>64.79</v>
      </c>
      <c r="C11" s="9">
        <v>74.01</v>
      </c>
      <c r="D11" s="9">
        <v>82.648</v>
      </c>
      <c r="E11" s="9">
        <v>97.202</v>
      </c>
      <c r="F11" s="9">
        <v>109.813</v>
      </c>
      <c r="G11" s="10">
        <f>IFERROR(__xludf.DUMMYFUNCTION("IFERROR(INDEX(GOOGLEFINANCE(""PLTR"", ""close"", A11), 2, 2), """")"),156.24)</f>
        <v>156.24</v>
      </c>
      <c r="H11" s="10" t="b">
        <f t="shared" si="1"/>
        <v>1</v>
      </c>
      <c r="I11" s="10" t="b">
        <f t="shared" si="2"/>
        <v>1</v>
      </c>
      <c r="J11" s="2" t="b">
        <f t="shared" si="3"/>
        <v>1</v>
      </c>
    </row>
    <row r="12">
      <c r="A12" s="8">
        <v>45868.0</v>
      </c>
      <c r="B12" s="9">
        <v>64.054</v>
      </c>
      <c r="C12" s="9">
        <v>72.646</v>
      </c>
      <c r="D12" s="9">
        <v>80.953</v>
      </c>
      <c r="E12" s="9">
        <v>89.841</v>
      </c>
      <c r="F12" s="9">
        <v>106.339</v>
      </c>
      <c r="G12" s="10">
        <f>IFERROR(__xludf.DUMMYFUNCTION("IFERROR(INDEX(GOOGLEFINANCE(""PLTR"", ""close"", A12), 2, 2), """")"),158.61)</f>
        <v>158.61</v>
      </c>
      <c r="H12" s="10" t="b">
        <f t="shared" si="1"/>
        <v>1</v>
      </c>
      <c r="I12" s="10" t="b">
        <f t="shared" si="2"/>
        <v>1</v>
      </c>
      <c r="J12" s="2" t="b">
        <f t="shared" si="3"/>
        <v>1</v>
      </c>
    </row>
    <row r="13">
      <c r="A13" s="8">
        <v>45869.0</v>
      </c>
      <c r="B13" s="9">
        <v>58.61</v>
      </c>
      <c r="C13" s="9">
        <v>67.199</v>
      </c>
      <c r="D13" s="9">
        <v>76.58</v>
      </c>
      <c r="E13" s="9">
        <v>85.924</v>
      </c>
      <c r="F13" s="9">
        <v>102.096</v>
      </c>
      <c r="G13" s="10">
        <f>IFERROR(__xludf.DUMMYFUNCTION("IFERROR(INDEX(GOOGLEFINANCE(""PLTR"", ""close"", A13), 2, 2), """")"),158.35)</f>
        <v>158.35</v>
      </c>
      <c r="H13" s="10" t="b">
        <f t="shared" si="1"/>
        <v>1</v>
      </c>
      <c r="I13" s="10" t="b">
        <f t="shared" si="2"/>
        <v>1</v>
      </c>
      <c r="J13" s="2" t="b">
        <f t="shared" si="3"/>
        <v>1</v>
      </c>
    </row>
    <row r="14">
      <c r="A14" s="8">
        <v>45874.0</v>
      </c>
      <c r="B14" s="9">
        <v>61.286</v>
      </c>
      <c r="C14" s="9">
        <v>71.466</v>
      </c>
      <c r="D14" s="9">
        <v>80.628</v>
      </c>
      <c r="E14" s="9">
        <v>90.97</v>
      </c>
      <c r="F14" s="9">
        <v>105.776</v>
      </c>
      <c r="G14" s="10">
        <f>IFERROR(__xludf.DUMMYFUNCTION("IFERROR(INDEX(GOOGLEFINANCE(""PLTR"", ""close"", A14), 2, 2), """")"),173.27)</f>
        <v>173.27</v>
      </c>
      <c r="H14" s="10" t="b">
        <f t="shared" si="1"/>
        <v>1</v>
      </c>
      <c r="I14" s="10" t="b">
        <f t="shared" si="2"/>
        <v>1</v>
      </c>
      <c r="J14" s="2" t="b">
        <f t="shared" si="3"/>
        <v>1</v>
      </c>
    </row>
    <row r="15">
      <c r="A15" s="8">
        <v>45875.0</v>
      </c>
      <c r="B15" s="9">
        <v>59.178</v>
      </c>
      <c r="C15" s="9">
        <v>68.044</v>
      </c>
      <c r="D15" s="9">
        <v>76.916</v>
      </c>
      <c r="E15" s="9">
        <v>86.836</v>
      </c>
      <c r="F15" s="9">
        <v>103.829</v>
      </c>
      <c r="G15" s="10">
        <f>IFERROR(__xludf.DUMMYFUNCTION("IFERROR(INDEX(GOOGLEFINANCE(""PLTR"", ""close"", A15), 2, 2), """")"),179.54)</f>
        <v>179.54</v>
      </c>
      <c r="H15" s="10" t="b">
        <f t="shared" si="1"/>
        <v>1</v>
      </c>
      <c r="I15" s="10" t="b">
        <f t="shared" si="2"/>
        <v>1</v>
      </c>
      <c r="J15" s="2" t="b">
        <f t="shared" si="3"/>
        <v>1</v>
      </c>
    </row>
    <row r="16">
      <c r="A16" s="8">
        <v>45876.0</v>
      </c>
      <c r="B16" s="9">
        <v>55.234</v>
      </c>
      <c r="C16" s="9">
        <v>65.321</v>
      </c>
      <c r="D16" s="9">
        <v>75.104</v>
      </c>
      <c r="E16" s="9">
        <v>86.823</v>
      </c>
      <c r="F16" s="9">
        <v>105.111</v>
      </c>
      <c r="G16" s="10">
        <f>IFERROR(__xludf.DUMMYFUNCTION("IFERROR(INDEX(GOOGLEFINANCE(""PLTR"", ""close"", A16), 2, 2), """")"),182.2)</f>
        <v>182.2</v>
      </c>
      <c r="H16" s="10" t="b">
        <f t="shared" si="1"/>
        <v>1</v>
      </c>
      <c r="I16" s="10" t="b">
        <f t="shared" si="2"/>
        <v>1</v>
      </c>
      <c r="J16" s="2" t="b">
        <f t="shared" si="3"/>
        <v>1</v>
      </c>
    </row>
    <row r="17">
      <c r="A17" s="8">
        <v>45877.0</v>
      </c>
      <c r="B17" s="9">
        <v>49.152</v>
      </c>
      <c r="C17" s="9">
        <v>61.305</v>
      </c>
      <c r="D17" s="9">
        <v>70.587</v>
      </c>
      <c r="E17" s="9">
        <v>80.856</v>
      </c>
      <c r="F17" s="9">
        <v>94.376</v>
      </c>
      <c r="G17" s="10">
        <f>IFERROR(__xludf.DUMMYFUNCTION("IFERROR(INDEX(GOOGLEFINANCE(""PLTR"", ""close"", A17), 2, 2), """")"),186.96)</f>
        <v>186.96</v>
      </c>
      <c r="H17" s="10" t="b">
        <f t="shared" si="1"/>
        <v>1</v>
      </c>
      <c r="I17" s="10" t="b">
        <f t="shared" si="2"/>
        <v>1</v>
      </c>
      <c r="J17" s="2" t="b">
        <f t="shared" si="3"/>
        <v>1</v>
      </c>
    </row>
    <row r="18">
      <c r="A18" s="8">
        <v>45880.0</v>
      </c>
      <c r="B18" s="9">
        <v>53.415</v>
      </c>
      <c r="C18" s="9">
        <v>63.469</v>
      </c>
      <c r="D18" s="9">
        <v>73.643</v>
      </c>
      <c r="E18" s="9">
        <v>85.848</v>
      </c>
      <c r="F18" s="9">
        <v>100.194</v>
      </c>
      <c r="G18" s="10">
        <f>IFERROR(__xludf.DUMMYFUNCTION("IFERROR(INDEX(GOOGLEFINANCE(""PLTR"", ""close"", A18), 2, 2), """")"),182.68)</f>
        <v>182.68</v>
      </c>
      <c r="H18" s="10" t="b">
        <f t="shared" si="1"/>
        <v>1</v>
      </c>
      <c r="I18" s="10" t="b">
        <f t="shared" si="2"/>
        <v>1</v>
      </c>
      <c r="J18" s="2" t="b">
        <f t="shared" si="3"/>
        <v>1</v>
      </c>
    </row>
    <row r="19">
      <c r="A19" s="8">
        <v>45883.0</v>
      </c>
      <c r="B19" s="9">
        <v>53.615</v>
      </c>
      <c r="C19" s="9">
        <v>62.896</v>
      </c>
      <c r="D19" s="9">
        <v>72.798</v>
      </c>
      <c r="E19" s="9">
        <v>82.927</v>
      </c>
      <c r="F19" s="9">
        <v>97.682</v>
      </c>
      <c r="G19" s="10">
        <f>IFERROR(__xludf.DUMMYFUNCTION("IFERROR(INDEX(GOOGLEFINANCE(""PLTR"", ""close"", A19), 2, 2), """")"),181.02)</f>
        <v>181.02</v>
      </c>
      <c r="H19" s="10" t="b">
        <f t="shared" si="1"/>
        <v>1</v>
      </c>
      <c r="I19" s="10" t="b">
        <f t="shared" si="2"/>
        <v>1</v>
      </c>
      <c r="J19" s="2" t="b">
        <f t="shared" si="3"/>
        <v>1</v>
      </c>
    </row>
    <row r="20">
      <c r="A20" s="8">
        <v>45884.0</v>
      </c>
      <c r="B20" s="9">
        <v>50.743</v>
      </c>
      <c r="C20" s="9">
        <v>59.588</v>
      </c>
      <c r="D20" s="9">
        <v>68.885</v>
      </c>
      <c r="E20" s="9">
        <v>79.299</v>
      </c>
      <c r="F20" s="9">
        <v>96.148</v>
      </c>
      <c r="G20" s="10">
        <f>IFERROR(__xludf.DUMMYFUNCTION("IFERROR(INDEX(GOOGLEFINANCE(""PLTR"", ""close"", A20), 2, 2), """")"),177.17)</f>
        <v>177.17</v>
      </c>
      <c r="H20" s="10" t="b">
        <f t="shared" si="1"/>
        <v>1</v>
      </c>
      <c r="I20" s="10" t="b">
        <f t="shared" si="2"/>
        <v>1</v>
      </c>
      <c r="J20" s="2" t="b">
        <f t="shared" si="3"/>
        <v>1</v>
      </c>
    </row>
    <row r="21">
      <c r="A21" s="8">
        <v>45887.0</v>
      </c>
      <c r="B21" s="9">
        <v>49.804</v>
      </c>
      <c r="C21" s="9">
        <v>62.118</v>
      </c>
      <c r="D21" s="9">
        <v>71.686</v>
      </c>
      <c r="E21" s="9">
        <v>81.248</v>
      </c>
      <c r="F21" s="9">
        <v>96.746</v>
      </c>
      <c r="G21" s="10">
        <f>IFERROR(__xludf.DUMMYFUNCTION("IFERROR(INDEX(GOOGLEFINANCE(""PLTR"", ""close"", A21), 2, 2), """")"),174.03)</f>
        <v>174.03</v>
      </c>
      <c r="H21" s="10" t="b">
        <f t="shared" si="1"/>
        <v>1</v>
      </c>
      <c r="I21" s="10" t="b">
        <f t="shared" si="2"/>
        <v>1</v>
      </c>
      <c r="J21" s="2" t="b">
        <f t="shared" si="3"/>
        <v>1</v>
      </c>
    </row>
    <row r="22">
      <c r="A22" s="8">
        <v>45888.0</v>
      </c>
      <c r="B22" s="9">
        <v>58.59</v>
      </c>
      <c r="C22" s="9">
        <v>65.675</v>
      </c>
      <c r="D22" s="9">
        <v>75.743</v>
      </c>
      <c r="E22" s="9">
        <v>88.741</v>
      </c>
      <c r="F22" s="9">
        <v>103.605</v>
      </c>
      <c r="G22" s="10">
        <f>IFERROR(__xludf.DUMMYFUNCTION("IFERROR(INDEX(GOOGLEFINANCE(""PLTR"", ""close"", A22), 2, 2), """")"),157.75)</f>
        <v>157.75</v>
      </c>
      <c r="H22" s="10" t="b">
        <f t="shared" si="1"/>
        <v>1</v>
      </c>
      <c r="I22" s="10" t="b">
        <f t="shared" si="2"/>
        <v>1</v>
      </c>
      <c r="J22" s="2" t="b">
        <f t="shared" si="3"/>
        <v>1</v>
      </c>
    </row>
    <row r="23">
      <c r="A23" s="8">
        <v>45889.0</v>
      </c>
      <c r="B23" s="9">
        <v>55.729</v>
      </c>
      <c r="C23" s="9">
        <v>65.23</v>
      </c>
      <c r="D23" s="9">
        <v>74.585</v>
      </c>
      <c r="E23" s="9">
        <v>84.694</v>
      </c>
      <c r="F23" s="9">
        <v>100.467</v>
      </c>
      <c r="G23" s="10">
        <f>IFERROR(__xludf.DUMMYFUNCTION("IFERROR(INDEX(GOOGLEFINANCE(""PLTR"", ""close"", A23), 2, 2), """")"),156.01)</f>
        <v>156.01</v>
      </c>
      <c r="H23" s="10" t="b">
        <f t="shared" si="1"/>
        <v>1</v>
      </c>
      <c r="I23" s="10" t="b">
        <f t="shared" si="2"/>
        <v>1</v>
      </c>
      <c r="J23" s="2" t="b">
        <f t="shared" si="3"/>
        <v>1</v>
      </c>
    </row>
    <row r="24">
      <c r="A24" s="8">
        <v>45894.0</v>
      </c>
      <c r="B24" s="9">
        <v>52.336</v>
      </c>
      <c r="C24" s="9">
        <v>64.7</v>
      </c>
      <c r="D24" s="9">
        <v>74.268</v>
      </c>
      <c r="E24" s="9">
        <v>83.518</v>
      </c>
      <c r="F24" s="9">
        <v>101.596</v>
      </c>
      <c r="G24" s="10">
        <f>IFERROR(__xludf.DUMMYFUNCTION("IFERROR(INDEX(GOOGLEFINANCE(""PLTR"", ""close"", A24), 2, 2), """")"),157.17)</f>
        <v>157.17</v>
      </c>
      <c r="H24" s="10" t="b">
        <f t="shared" si="1"/>
        <v>1</v>
      </c>
      <c r="I24" s="10" t="b">
        <f t="shared" si="2"/>
        <v>1</v>
      </c>
      <c r="J24" s="2" t="b">
        <f t="shared" si="3"/>
        <v>1</v>
      </c>
    </row>
    <row r="25">
      <c r="A25" s="8">
        <v>45895.0</v>
      </c>
      <c r="B25" s="9">
        <v>55.334</v>
      </c>
      <c r="C25" s="9">
        <v>66.05</v>
      </c>
      <c r="D25" s="9">
        <v>74.373</v>
      </c>
      <c r="E25" s="9">
        <v>84.514</v>
      </c>
      <c r="F25" s="9">
        <v>102.987</v>
      </c>
      <c r="G25" s="10">
        <f>IFERROR(__xludf.DUMMYFUNCTION("IFERROR(INDEX(GOOGLEFINANCE(""PLTR"", ""close"", A25), 2, 2), """")"),160.87)</f>
        <v>160.87</v>
      </c>
      <c r="H25" s="10" t="b">
        <f t="shared" si="1"/>
        <v>1</v>
      </c>
      <c r="I25" s="10" t="b">
        <f t="shared" si="2"/>
        <v>1</v>
      </c>
      <c r="J25" s="2" t="b">
        <f t="shared" si="3"/>
        <v>1</v>
      </c>
    </row>
    <row r="26">
      <c r="A26" s="8">
        <v>45896.0</v>
      </c>
      <c r="B26" s="9">
        <v>55.673</v>
      </c>
      <c r="C26" s="9">
        <v>64.389</v>
      </c>
      <c r="D26" s="9">
        <v>73.712</v>
      </c>
      <c r="E26" s="9">
        <v>83.532</v>
      </c>
      <c r="F26" s="9">
        <v>100.517</v>
      </c>
      <c r="G26" s="10">
        <f>IFERROR(__xludf.DUMMYFUNCTION("IFERROR(INDEX(GOOGLEFINANCE(""PLTR"", ""close"", A26), 2, 2), """")"),156.72)</f>
        <v>156.72</v>
      </c>
      <c r="H26" s="10" t="b">
        <f t="shared" si="1"/>
        <v>1</v>
      </c>
      <c r="I26" s="10" t="b">
        <f t="shared" si="2"/>
        <v>1</v>
      </c>
      <c r="J26" s="2" t="b">
        <f t="shared" si="3"/>
        <v>1</v>
      </c>
    </row>
    <row r="27">
      <c r="A27" s="8">
        <v>45897.0</v>
      </c>
      <c r="B27" s="9">
        <v>53.663</v>
      </c>
      <c r="C27" s="9">
        <v>63.184</v>
      </c>
      <c r="D27" s="9">
        <v>72.413</v>
      </c>
      <c r="E27" s="9">
        <v>82.309</v>
      </c>
      <c r="F27" s="9">
        <v>98.842</v>
      </c>
      <c r="G27" s="10">
        <f>IFERROR(__xludf.DUMMYFUNCTION("IFERROR(INDEX(GOOGLEFINANCE(""PLTR"", ""close"", A27), 2, 2), """")"),158.12)</f>
        <v>158.12</v>
      </c>
      <c r="H27" s="10" t="b">
        <f t="shared" si="1"/>
        <v>1</v>
      </c>
      <c r="I27" s="10" t="b">
        <f t="shared" si="2"/>
        <v>1</v>
      </c>
      <c r="J27" s="2" t="b">
        <f t="shared" si="3"/>
        <v>1</v>
      </c>
    </row>
    <row r="28">
      <c r="A28" s="8">
        <v>45898.0</v>
      </c>
      <c r="B28" s="9">
        <v>49.48</v>
      </c>
      <c r="C28" s="9">
        <v>60.743</v>
      </c>
      <c r="D28" s="9">
        <v>69.651</v>
      </c>
      <c r="E28" s="9">
        <v>78.724</v>
      </c>
      <c r="F28" s="9">
        <v>95.995</v>
      </c>
      <c r="G28" s="10">
        <f>IFERROR(__xludf.DUMMYFUNCTION("IFERROR(INDEX(GOOGLEFINANCE(""PLTR"", ""close"", A28), 2, 2), """")"),156.71)</f>
        <v>156.71</v>
      </c>
      <c r="H28" s="10" t="b">
        <f t="shared" si="1"/>
        <v>1</v>
      </c>
      <c r="I28" s="10" t="b">
        <f t="shared" si="2"/>
        <v>1</v>
      </c>
      <c r="J28" s="2" t="b">
        <f t="shared" si="3"/>
        <v>1</v>
      </c>
    </row>
    <row r="29">
      <c r="A29" s="8">
        <v>45903.0</v>
      </c>
      <c r="B29" s="9">
        <v>56.967</v>
      </c>
      <c r="C29" s="9">
        <v>63.838</v>
      </c>
      <c r="D29" s="9">
        <v>73.475</v>
      </c>
      <c r="E29" s="9">
        <v>83.443</v>
      </c>
      <c r="F29" s="9">
        <v>100.865</v>
      </c>
      <c r="G29" s="10">
        <f>IFERROR(__xludf.DUMMYFUNCTION("IFERROR(INDEX(GOOGLEFINANCE(""PLTR"", ""close"", A29), 2, 2), """")"),154.9)</f>
        <v>154.9</v>
      </c>
      <c r="H29" s="10" t="b">
        <f t="shared" si="1"/>
        <v>1</v>
      </c>
      <c r="I29" s="10" t="b">
        <f t="shared" si="2"/>
        <v>1</v>
      </c>
      <c r="J29" s="2" t="b">
        <f t="shared" si="3"/>
        <v>1</v>
      </c>
    </row>
    <row r="30">
      <c r="A30" s="8">
        <v>45904.0</v>
      </c>
      <c r="B30" s="9">
        <v>53.471</v>
      </c>
      <c r="C30" s="9">
        <v>66.05</v>
      </c>
      <c r="D30" s="9">
        <v>74.249</v>
      </c>
      <c r="E30" s="9">
        <v>84.301</v>
      </c>
      <c r="F30" s="9">
        <v>100.644</v>
      </c>
      <c r="G30" s="10">
        <f>IFERROR(__xludf.DUMMYFUNCTION("IFERROR(INDEX(GOOGLEFINANCE(""PLTR"", ""close"", A30), 2, 2), """")"),156.14)</f>
        <v>156.14</v>
      </c>
      <c r="H30" s="10" t="b">
        <f t="shared" si="1"/>
        <v>1</v>
      </c>
      <c r="I30" s="10" t="b">
        <f t="shared" si="2"/>
        <v>1</v>
      </c>
      <c r="J30" s="2" t="b">
        <f t="shared" si="3"/>
        <v>1</v>
      </c>
    </row>
    <row r="31">
      <c r="A31" s="8">
        <v>45905.0</v>
      </c>
      <c r="B31" s="9">
        <v>51.146</v>
      </c>
      <c r="C31" s="9">
        <v>64.215</v>
      </c>
      <c r="D31" s="9">
        <v>73.542</v>
      </c>
      <c r="E31" s="9">
        <v>84.213</v>
      </c>
      <c r="F31" s="9">
        <v>100.948</v>
      </c>
      <c r="G31" s="10">
        <f>IFERROR(__xludf.DUMMYFUNCTION("IFERROR(INDEX(GOOGLEFINANCE(""PLTR"", ""close"", A31), 2, 2), """")"),153.11)</f>
        <v>153.11</v>
      </c>
      <c r="H31" s="10" t="b">
        <f t="shared" si="1"/>
        <v>1</v>
      </c>
      <c r="I31" s="10" t="b">
        <f t="shared" si="2"/>
        <v>1</v>
      </c>
      <c r="J31" s="2" t="b">
        <f t="shared" si="3"/>
        <v>1</v>
      </c>
    </row>
    <row r="32">
      <c r="A32" s="8">
        <v>45908.0</v>
      </c>
      <c r="B32" s="9">
        <v>50.888</v>
      </c>
      <c r="C32" s="9">
        <v>61.643</v>
      </c>
      <c r="D32" s="9">
        <v>71.451</v>
      </c>
      <c r="E32" s="9">
        <v>82.613</v>
      </c>
      <c r="F32" s="9">
        <v>97.677</v>
      </c>
      <c r="G32" s="10">
        <f>IFERROR(__xludf.DUMMYFUNCTION("IFERROR(INDEX(GOOGLEFINANCE(""PLTR"", ""close"", A32), 2, 2), """")"),156.1)</f>
        <v>156.1</v>
      </c>
      <c r="H32" s="10" t="b">
        <f t="shared" si="1"/>
        <v>1</v>
      </c>
      <c r="I32" s="10" t="b">
        <f t="shared" si="2"/>
        <v>1</v>
      </c>
      <c r="J32" s="2" t="b">
        <f t="shared" si="3"/>
        <v>1</v>
      </c>
    </row>
    <row r="33">
      <c r="A33" s="8">
        <v>45909.0</v>
      </c>
      <c r="B33" s="9">
        <v>55.901</v>
      </c>
      <c r="C33" s="9">
        <v>66.006</v>
      </c>
      <c r="D33" s="9">
        <v>75.544</v>
      </c>
      <c r="E33" s="9">
        <v>85.529</v>
      </c>
      <c r="F33" s="9">
        <v>106.83</v>
      </c>
      <c r="G33" s="10">
        <f>IFERROR(__xludf.DUMMYFUNCTION("IFERROR(INDEX(GOOGLEFINANCE(""PLTR"", ""close"", A33), 2, 2), """")"),162.36)</f>
        <v>162.36</v>
      </c>
      <c r="H33" s="10" t="b">
        <f t="shared" si="1"/>
        <v>1</v>
      </c>
      <c r="I33" s="10" t="b">
        <f t="shared" si="2"/>
        <v>1</v>
      </c>
      <c r="J33" s="2" t="b">
        <f t="shared" si="3"/>
        <v>1</v>
      </c>
    </row>
    <row r="34">
      <c r="A34" s="8">
        <v>45912.0</v>
      </c>
      <c r="B34" s="9">
        <v>51.195</v>
      </c>
      <c r="C34" s="9">
        <v>64.132</v>
      </c>
      <c r="D34" s="9">
        <v>73.669</v>
      </c>
      <c r="E34" s="9">
        <v>85.825</v>
      </c>
      <c r="F34" s="9">
        <v>100.711</v>
      </c>
      <c r="G34" s="10">
        <f>IFERROR(__xludf.DUMMYFUNCTION("IFERROR(INDEX(GOOGLEFINANCE(""PLTR"", ""close"", A34), 2, 2), """")"),171.43)</f>
        <v>171.43</v>
      </c>
      <c r="H34" s="10" t="b">
        <f t="shared" si="1"/>
        <v>1</v>
      </c>
      <c r="I34" s="10" t="b">
        <f t="shared" si="2"/>
        <v>1</v>
      </c>
      <c r="J34" s="2" t="b">
        <f t="shared" si="3"/>
        <v>1</v>
      </c>
    </row>
    <row r="35">
      <c r="A35" s="8">
        <v>45915.0</v>
      </c>
      <c r="B35" s="9">
        <v>56.107</v>
      </c>
      <c r="C35" s="9">
        <v>64.373</v>
      </c>
      <c r="D35" s="9">
        <v>74.434</v>
      </c>
      <c r="E35" s="9">
        <v>90.362</v>
      </c>
      <c r="F35" s="9">
        <v>101.101</v>
      </c>
      <c r="G35" s="10">
        <f>IFERROR(__xludf.DUMMYFUNCTION("IFERROR(INDEX(GOOGLEFINANCE(""PLTR"", ""close"", A35), 2, 2), """")"),171.21)</f>
        <v>171.21</v>
      </c>
      <c r="H35" s="10" t="b">
        <f t="shared" si="1"/>
        <v>1</v>
      </c>
      <c r="I35" s="10" t="b">
        <f t="shared" si="2"/>
        <v>1</v>
      </c>
      <c r="J35" s="2" t="b">
        <f t="shared" si="3"/>
        <v>1</v>
      </c>
    </row>
    <row r="36">
      <c r="A36" s="8">
        <v>45916.0</v>
      </c>
      <c r="B36" s="9">
        <v>56.3</v>
      </c>
      <c r="C36" s="9">
        <v>65.977</v>
      </c>
      <c r="D36" s="9">
        <v>75.748</v>
      </c>
      <c r="E36" s="9">
        <v>85.675</v>
      </c>
      <c r="F36" s="9">
        <v>103.877</v>
      </c>
      <c r="G36" s="10">
        <f>IFERROR(__xludf.DUMMYFUNCTION("IFERROR(INDEX(GOOGLEFINANCE(""PLTR"", ""close"", A36), 2, 2), """")"),170.26)</f>
        <v>170.26</v>
      </c>
      <c r="H36" s="10" t="b">
        <f t="shared" si="1"/>
        <v>1</v>
      </c>
      <c r="I36" s="10" t="b">
        <f t="shared" si="2"/>
        <v>1</v>
      </c>
      <c r="J36" s="2" t="b">
        <f t="shared" si="3"/>
        <v>1</v>
      </c>
    </row>
    <row r="37">
      <c r="A37" s="8">
        <v>45917.0</v>
      </c>
      <c r="B37" s="9">
        <v>55.085</v>
      </c>
      <c r="C37" s="9">
        <v>64.8</v>
      </c>
      <c r="D37" s="9">
        <v>73.376</v>
      </c>
      <c r="E37" s="9">
        <v>83.181</v>
      </c>
      <c r="F37" s="9">
        <v>99.726</v>
      </c>
      <c r="G37" s="10">
        <f>IFERROR(__xludf.DUMMYFUNCTION("IFERROR(INDEX(GOOGLEFINANCE(""PLTR"", ""close"", A37), 2, 2), """")"),168.33)</f>
        <v>168.33</v>
      </c>
      <c r="H37" s="10" t="b">
        <f t="shared" si="1"/>
        <v>1</v>
      </c>
      <c r="I37" s="10" t="b">
        <f t="shared" si="2"/>
        <v>1</v>
      </c>
      <c r="J37" s="2" t="b">
        <f t="shared" si="3"/>
        <v>1</v>
      </c>
    </row>
    <row r="38">
      <c r="A38" s="8">
        <v>45918.0</v>
      </c>
      <c r="B38" s="9">
        <v>54.51</v>
      </c>
      <c r="C38" s="9">
        <v>64.911</v>
      </c>
      <c r="D38" s="9">
        <v>74.178</v>
      </c>
      <c r="E38" s="9">
        <v>83.435</v>
      </c>
      <c r="F38" s="9">
        <v>94.327</v>
      </c>
      <c r="G38" s="10">
        <f>IFERROR(__xludf.DUMMYFUNCTION("IFERROR(INDEX(GOOGLEFINANCE(""PLTR"", ""close"", A38), 2, 2), """")"),176.97)</f>
        <v>176.97</v>
      </c>
      <c r="H38" s="10" t="b">
        <f t="shared" si="1"/>
        <v>1</v>
      </c>
      <c r="I38" s="10" t="b">
        <f t="shared" si="2"/>
        <v>1</v>
      </c>
      <c r="J38" s="2" t="b">
        <f t="shared" si="3"/>
        <v>1</v>
      </c>
    </row>
    <row r="39">
      <c r="A39" s="8">
        <v>45923.0</v>
      </c>
      <c r="B39" s="9">
        <v>57.413</v>
      </c>
      <c r="C39" s="9">
        <v>67.714</v>
      </c>
      <c r="D39" s="9">
        <v>77.645</v>
      </c>
      <c r="E39" s="9">
        <v>94.23</v>
      </c>
      <c r="F39" s="9">
        <v>111.222</v>
      </c>
      <c r="G39" s="10">
        <f>IFERROR(__xludf.DUMMYFUNCTION("IFERROR(INDEX(GOOGLEFINANCE(""PLTR"", ""close"", A39), 2, 2), """")"),182.55)</f>
        <v>182.55</v>
      </c>
      <c r="H39" s="10" t="b">
        <f t="shared" si="1"/>
        <v>1</v>
      </c>
      <c r="I39" s="10" t="b">
        <f t="shared" si="2"/>
        <v>1</v>
      </c>
      <c r="J39" s="2" t="b">
        <f t="shared" si="3"/>
        <v>1</v>
      </c>
    </row>
    <row r="40">
      <c r="A40" s="8">
        <v>45924.0</v>
      </c>
      <c r="B40" s="9">
        <v>56.158</v>
      </c>
      <c r="C40" s="9">
        <v>66.645</v>
      </c>
      <c r="D40" s="9">
        <v>75.731</v>
      </c>
      <c r="E40" s="9">
        <v>87.05</v>
      </c>
      <c r="F40" s="9">
        <v>102.469</v>
      </c>
      <c r="G40" s="10">
        <f>IFERROR(__xludf.DUMMYFUNCTION("IFERROR(INDEX(GOOGLEFINANCE(""PLTR"", ""close"", A40), 2, 2), """")"),179.56)</f>
        <v>179.56</v>
      </c>
      <c r="H40" s="10" t="b">
        <f t="shared" si="1"/>
        <v>1</v>
      </c>
      <c r="I40" s="10" t="b">
        <f t="shared" si="2"/>
        <v>1</v>
      </c>
      <c r="J40" s="2" t="b">
        <f t="shared" si="3"/>
        <v>1</v>
      </c>
    </row>
    <row r="41">
      <c r="A41" s="8">
        <v>45926.0</v>
      </c>
      <c r="B41" s="9">
        <v>53.737</v>
      </c>
      <c r="C41" s="9">
        <v>66.227</v>
      </c>
      <c r="D41" s="9">
        <v>76.098</v>
      </c>
      <c r="E41" s="9">
        <v>86.014</v>
      </c>
      <c r="F41" s="9">
        <v>102.745</v>
      </c>
      <c r="G41" s="10">
        <f>IFERROR(__xludf.DUMMYFUNCTION("IFERROR(INDEX(GOOGLEFINANCE(""PLTR"", ""close"", A41), 2, 2), """")"),177.57)</f>
        <v>177.57</v>
      </c>
      <c r="H41" s="10" t="b">
        <f t="shared" si="1"/>
        <v>1</v>
      </c>
      <c r="I41" s="10" t="b">
        <f t="shared" si="2"/>
        <v>1</v>
      </c>
      <c r="J41" s="2" t="b">
        <f t="shared" si="3"/>
        <v>1</v>
      </c>
    </row>
    <row r="42">
      <c r="A42" s="8">
        <v>45929.0</v>
      </c>
      <c r="B42" s="9">
        <v>53.714</v>
      </c>
      <c r="C42" s="9">
        <v>67.266</v>
      </c>
      <c r="D42" s="9">
        <v>77.131</v>
      </c>
      <c r="E42" s="9">
        <v>91.388</v>
      </c>
      <c r="F42" s="9">
        <v>103.671</v>
      </c>
      <c r="G42" s="10">
        <f>IFERROR(__xludf.DUMMYFUNCTION("IFERROR(INDEX(GOOGLEFINANCE(""PLTR"", ""close"", A42), 2, 2), """")"),178.86)</f>
        <v>178.86</v>
      </c>
      <c r="H42" s="10" t="b">
        <f t="shared" si="1"/>
        <v>1</v>
      </c>
      <c r="I42" s="10" t="b">
        <f t="shared" si="2"/>
        <v>1</v>
      </c>
      <c r="J42" s="2" t="b">
        <f t="shared" si="3"/>
        <v>1</v>
      </c>
    </row>
    <row r="43">
      <c r="A43" s="8">
        <v>45933.0</v>
      </c>
      <c r="B43" s="9">
        <v>55.599</v>
      </c>
      <c r="C43" s="9">
        <v>66.022</v>
      </c>
      <c r="D43" s="9">
        <v>75.496</v>
      </c>
      <c r="E43" s="9">
        <v>85.505</v>
      </c>
      <c r="F43" s="9">
        <v>101.544</v>
      </c>
      <c r="G43" s="10">
        <f>IFERROR(__xludf.DUMMYFUNCTION("IFERROR(INDEX(GOOGLEFINANCE(""PLTR"", ""close"", A43), 2, 2), """")"),173.07)</f>
        <v>173.07</v>
      </c>
      <c r="H43" s="10" t="b">
        <f t="shared" si="1"/>
        <v>1</v>
      </c>
      <c r="I43" s="10" t="b">
        <f t="shared" si="2"/>
        <v>1</v>
      </c>
      <c r="J43" s="2" t="b">
        <f t="shared" si="3"/>
        <v>1</v>
      </c>
    </row>
    <row r="44">
      <c r="A44" s="8">
        <v>45936.0</v>
      </c>
      <c r="B44" s="9">
        <v>59.419</v>
      </c>
      <c r="C44" s="9">
        <v>68.057</v>
      </c>
      <c r="D44" s="9">
        <v>77.385</v>
      </c>
      <c r="E44" s="9">
        <v>89.032</v>
      </c>
      <c r="F44" s="9">
        <v>105.839</v>
      </c>
      <c r="G44" s="10">
        <f>IFERROR(__xludf.DUMMYFUNCTION("IFERROR(INDEX(GOOGLEFINANCE(""PLTR"", ""close"", A44), 2, 2), """")"),179.53)</f>
        <v>179.53</v>
      </c>
      <c r="H44" s="10" t="b">
        <f t="shared" si="1"/>
        <v>1</v>
      </c>
      <c r="I44" s="10" t="b">
        <f t="shared" si="2"/>
        <v>1</v>
      </c>
      <c r="J44" s="2" t="b">
        <f t="shared" si="3"/>
        <v>1</v>
      </c>
    </row>
    <row r="45">
      <c r="A45" s="8">
        <v>45937.0</v>
      </c>
      <c r="B45" s="9">
        <v>60.147</v>
      </c>
      <c r="C45" s="9">
        <v>68.728</v>
      </c>
      <c r="D45" s="9">
        <v>78.627</v>
      </c>
      <c r="E45" s="9">
        <v>89.919</v>
      </c>
      <c r="F45" s="9">
        <v>108.635</v>
      </c>
      <c r="G45" s="10">
        <f>IFERROR(__xludf.DUMMYFUNCTION("IFERROR(INDEX(GOOGLEFINANCE(""PLTR"", ""close"", A45), 2, 2), """")"),182.17)</f>
        <v>182.17</v>
      </c>
      <c r="H45" s="10" t="b">
        <f t="shared" si="1"/>
        <v>1</v>
      </c>
      <c r="I45" s="10" t="b">
        <f t="shared" si="2"/>
        <v>1</v>
      </c>
      <c r="J45" s="2" t="b">
        <f t="shared" si="3"/>
        <v>1</v>
      </c>
    </row>
    <row r="46">
      <c r="A46" s="8">
        <v>45938.0</v>
      </c>
      <c r="B46" s="9">
        <v>56.973</v>
      </c>
      <c r="C46" s="9">
        <v>67.127</v>
      </c>
      <c r="D46" s="9">
        <v>76.649</v>
      </c>
      <c r="E46" s="9">
        <v>88.445</v>
      </c>
      <c r="F46" s="9">
        <v>104.524</v>
      </c>
      <c r="G46" s="10">
        <f>IFERROR(__xludf.DUMMYFUNCTION("IFERROR(INDEX(GOOGLEFINANCE(""PLTR"", ""close"", A46), 2, 2), """")"),183.56)</f>
        <v>183.56</v>
      </c>
      <c r="H46" s="10" t="b">
        <f t="shared" si="1"/>
        <v>1</v>
      </c>
      <c r="I46" s="10" t="b">
        <f t="shared" si="2"/>
        <v>1</v>
      </c>
      <c r="J46" s="2" t="b">
        <f t="shared" si="3"/>
        <v>1</v>
      </c>
    </row>
    <row r="47">
      <c r="A47" s="8">
        <v>45943.0</v>
      </c>
      <c r="B47" s="9">
        <v>52.667</v>
      </c>
      <c r="C47" s="9">
        <v>65.924</v>
      </c>
      <c r="D47" s="9">
        <v>76.163</v>
      </c>
      <c r="E47" s="9">
        <v>85.534</v>
      </c>
      <c r="F47" s="9">
        <v>101.145</v>
      </c>
      <c r="G47" s="10">
        <f>IFERROR(__xludf.DUMMYFUNCTION("IFERROR(INDEX(GOOGLEFINANCE(""PLTR"", ""close"", A47), 2, 2), """")"),177.21)</f>
        <v>177.21</v>
      </c>
      <c r="H47" s="10" t="b">
        <f t="shared" si="1"/>
        <v>1</v>
      </c>
      <c r="I47" s="10" t="b">
        <f t="shared" si="2"/>
        <v>1</v>
      </c>
      <c r="J47" s="2" t="b">
        <f t="shared" si="3"/>
        <v>1</v>
      </c>
    </row>
    <row r="48">
      <c r="A48" s="8">
        <v>45944.0</v>
      </c>
      <c r="B48" s="9">
        <v>58.317</v>
      </c>
      <c r="C48" s="9">
        <v>69.842</v>
      </c>
      <c r="D48" s="9">
        <v>79.893</v>
      </c>
      <c r="E48" s="9">
        <v>95.477</v>
      </c>
      <c r="F48" s="9">
        <v>109.464</v>
      </c>
      <c r="G48" s="10">
        <f>IFERROR(__xludf.DUMMYFUNCTION("IFERROR(INDEX(GOOGLEFINANCE(""PLTR"", ""close"", A48), 2, 2), """")"),179.74)</f>
        <v>179.74</v>
      </c>
      <c r="H48" s="10" t="b">
        <f t="shared" si="1"/>
        <v>1</v>
      </c>
      <c r="I48" s="10" t="b">
        <f t="shared" si="2"/>
        <v>1</v>
      </c>
      <c r="J48" s="2" t="b">
        <f t="shared" si="3"/>
        <v>1</v>
      </c>
    </row>
    <row r="49">
      <c r="A49" s="8">
        <v>45945.0</v>
      </c>
      <c r="B49" s="9">
        <v>57.513</v>
      </c>
      <c r="C49" s="9">
        <v>65.782</v>
      </c>
      <c r="D49" s="9">
        <v>75.567</v>
      </c>
      <c r="E49" s="9">
        <v>87.002</v>
      </c>
      <c r="F49" s="9">
        <v>102.27</v>
      </c>
      <c r="G49" s="10">
        <f>IFERROR(__xludf.DUMMYFUNCTION("IFERROR(INDEX(GOOGLEFINANCE(""PLTR"", ""close"", A49), 2, 2), """")"),179.62)</f>
        <v>179.62</v>
      </c>
      <c r="H49" s="10" t="b">
        <f t="shared" si="1"/>
        <v>1</v>
      </c>
      <c r="I49" s="10" t="b">
        <f t="shared" si="2"/>
        <v>1</v>
      </c>
      <c r="J49" s="2" t="b">
        <f t="shared" si="3"/>
        <v>1</v>
      </c>
    </row>
    <row r="50">
      <c r="A50" s="8">
        <v>45950.0</v>
      </c>
      <c r="B50" s="9">
        <v>56.814</v>
      </c>
      <c r="C50" s="9">
        <v>68.359</v>
      </c>
      <c r="D50" s="9">
        <v>78.259</v>
      </c>
      <c r="E50" s="9">
        <v>88.628</v>
      </c>
      <c r="F50" s="9">
        <v>106.331</v>
      </c>
      <c r="G50" s="10">
        <f>IFERROR(__xludf.DUMMYFUNCTION("IFERROR(INDEX(GOOGLEFINANCE(""PLTR"", ""close"", A50), 2, 2), """")"),181.59)</f>
        <v>181.59</v>
      </c>
      <c r="H50" s="10" t="b">
        <f t="shared" si="1"/>
        <v>1</v>
      </c>
      <c r="I50" s="10" t="b">
        <f t="shared" si="2"/>
        <v>1</v>
      </c>
      <c r="J50" s="2" t="b">
        <f t="shared" si="3"/>
        <v>1</v>
      </c>
    </row>
    <row r="51">
      <c r="A51" s="8">
        <v>45951.0</v>
      </c>
      <c r="B51" s="9">
        <v>56.742</v>
      </c>
      <c r="C51" s="9">
        <v>69.911</v>
      </c>
      <c r="D51" s="9">
        <v>79.873</v>
      </c>
      <c r="E51" s="9">
        <v>88.894</v>
      </c>
      <c r="F51" s="9">
        <v>105.14</v>
      </c>
      <c r="G51" s="10">
        <f>IFERROR(__xludf.DUMMYFUNCTION("IFERROR(INDEX(GOOGLEFINANCE(""PLTR"", ""close"", A51), 2, 2), """")"),181.51)</f>
        <v>181.51</v>
      </c>
      <c r="H51" s="10" t="b">
        <f t="shared" si="1"/>
        <v>1</v>
      </c>
      <c r="I51" s="10" t="b">
        <f t="shared" si="2"/>
        <v>1</v>
      </c>
      <c r="J51" s="2" t="b">
        <f t="shared" si="3"/>
        <v>1</v>
      </c>
    </row>
    <row r="52">
      <c r="A52" s="8">
        <v>45957.0</v>
      </c>
      <c r="B52" s="9">
        <v>56.234</v>
      </c>
      <c r="C52" s="9">
        <v>68.893</v>
      </c>
      <c r="D52" s="9">
        <v>79.042</v>
      </c>
      <c r="E52" s="9">
        <v>88.99</v>
      </c>
      <c r="F52" s="9">
        <v>107.436</v>
      </c>
      <c r="G52" s="10">
        <f>IFERROR(__xludf.DUMMYFUNCTION("IFERROR(INDEX(GOOGLEFINANCE(""PLTR"", ""close"", A52), 2, 2), """")"),189.18)</f>
        <v>189.18</v>
      </c>
      <c r="H52" s="10" t="b">
        <f t="shared" si="1"/>
        <v>1</v>
      </c>
      <c r="I52" s="10" t="b">
        <f t="shared" si="2"/>
        <v>1</v>
      </c>
      <c r="J52" s="2" t="b">
        <f t="shared" si="3"/>
        <v>1</v>
      </c>
    </row>
    <row r="53">
      <c r="A53" s="8">
        <v>45958.0</v>
      </c>
      <c r="B53" s="9">
        <v>60.242</v>
      </c>
      <c r="C53" s="9">
        <v>71.337</v>
      </c>
      <c r="D53" s="9">
        <v>81.492</v>
      </c>
      <c r="E53" s="9">
        <v>93.555</v>
      </c>
      <c r="F53" s="9">
        <v>113.337</v>
      </c>
      <c r="G53" s="10">
        <f>IFERROR(__xludf.DUMMYFUNCTION("IFERROR(INDEX(GOOGLEFINANCE(""PLTR"", ""close"", A53), 2, 2), """")"),189.6)</f>
        <v>189.6</v>
      </c>
      <c r="H53" s="10" t="b">
        <f t="shared" si="1"/>
        <v>1</v>
      </c>
      <c r="I53" s="10" t="b">
        <f t="shared" si="2"/>
        <v>1</v>
      </c>
      <c r="J53" s="2" t="b">
        <f t="shared" si="3"/>
        <v>1</v>
      </c>
    </row>
    <row r="54">
      <c r="A54" s="8">
        <v>45965.0</v>
      </c>
      <c r="B54" s="9">
        <v>60.47</v>
      </c>
      <c r="C54" s="9">
        <v>72.371</v>
      </c>
      <c r="D54" s="9">
        <v>81.93</v>
      </c>
      <c r="E54" s="9">
        <v>99.127</v>
      </c>
      <c r="F54" s="9">
        <v>113.796</v>
      </c>
      <c r="G54" s="10">
        <f>IFERROR(__xludf.DUMMYFUNCTION("IFERROR(INDEX(GOOGLEFINANCE(""PLTR"", ""close"", A54), 2, 2), """")"),190.74)</f>
        <v>190.74</v>
      </c>
      <c r="H54" s="10" t="b">
        <f t="shared" si="1"/>
        <v>1</v>
      </c>
      <c r="I54" s="10" t="b">
        <f t="shared" si="2"/>
        <v>1</v>
      </c>
      <c r="J54" s="2" t="b">
        <f t="shared" si="3"/>
        <v>1</v>
      </c>
    </row>
    <row r="55">
      <c r="A55" s="8">
        <v>45967.0</v>
      </c>
      <c r="B55" s="9">
        <v>59.346</v>
      </c>
      <c r="C55" s="9">
        <v>71.585</v>
      </c>
      <c r="D55" s="9">
        <v>81.535</v>
      </c>
      <c r="E55" s="9">
        <v>92.858</v>
      </c>
      <c r="F55" s="9">
        <v>109.155</v>
      </c>
      <c r="G55" s="10">
        <f>IFERROR(__xludf.DUMMYFUNCTION("IFERROR(INDEX(GOOGLEFINANCE(""PLTR"", ""close"", A55), 2, 2), """")"),175.05)</f>
        <v>175.05</v>
      </c>
      <c r="H55" s="10" t="b">
        <f t="shared" si="1"/>
        <v>1</v>
      </c>
      <c r="I55" s="10" t="b">
        <f t="shared" si="2"/>
        <v>1</v>
      </c>
      <c r="J55" s="2" t="b">
        <f t="shared" si="3"/>
        <v>1</v>
      </c>
    </row>
    <row r="56">
      <c r="A56" s="8">
        <v>45968.0</v>
      </c>
      <c r="B56" s="9">
        <v>57.452</v>
      </c>
      <c r="C56" s="9">
        <v>69.479</v>
      </c>
      <c r="D56" s="9">
        <v>79.009</v>
      </c>
      <c r="E56" s="9">
        <v>89.423</v>
      </c>
      <c r="F56" s="9">
        <v>105.241</v>
      </c>
      <c r="G56" s="10">
        <f>IFERROR(__xludf.DUMMYFUNCTION("IFERROR(INDEX(GOOGLEFINANCE(""PLTR"", ""close"", A56), 2, 2), """")"),177.93)</f>
        <v>177.93</v>
      </c>
      <c r="H56" s="10" t="b">
        <f t="shared" si="1"/>
        <v>1</v>
      </c>
      <c r="I56" s="10" t="b">
        <f t="shared" si="2"/>
        <v>1</v>
      </c>
      <c r="J56" s="2" t="b">
        <f t="shared" si="3"/>
        <v>1</v>
      </c>
    </row>
    <row r="57">
      <c r="A57" s="8">
        <v>45973.0</v>
      </c>
      <c r="B57" s="9">
        <v>58.578</v>
      </c>
      <c r="C57" s="9">
        <v>69.068</v>
      </c>
      <c r="D57" s="9">
        <v>79.185</v>
      </c>
      <c r="E57" s="9">
        <v>91.357</v>
      </c>
      <c r="F57" s="9">
        <v>109.277</v>
      </c>
      <c r="G57" s="10">
        <f>IFERROR(__xludf.DUMMYFUNCTION("IFERROR(INDEX(GOOGLEFINANCE(""PLTR"", ""close"", A57), 2, 2), """")"),184.17)</f>
        <v>184.17</v>
      </c>
      <c r="H57" s="10" t="b">
        <f t="shared" si="1"/>
        <v>1</v>
      </c>
      <c r="I57" s="10" t="b">
        <f t="shared" si="2"/>
        <v>1</v>
      </c>
      <c r="J57" s="2" t="b">
        <f t="shared" si="3"/>
        <v>1</v>
      </c>
    </row>
    <row r="58">
      <c r="A58" s="8">
        <v>45974.0</v>
      </c>
      <c r="B58" s="9">
        <v>58.246</v>
      </c>
      <c r="C58" s="9">
        <v>71.513</v>
      </c>
      <c r="D58" s="9">
        <v>81.409</v>
      </c>
      <c r="E58" s="9">
        <v>92.847</v>
      </c>
      <c r="F58" s="9">
        <v>107.761</v>
      </c>
      <c r="G58" s="10">
        <f>IFERROR(__xludf.DUMMYFUNCTION("IFERROR(INDEX(GOOGLEFINANCE(""PLTR"", ""close"", A58), 2, 2), """")"),172.14)</f>
        <v>172.14</v>
      </c>
      <c r="H58" s="10" t="b">
        <f t="shared" si="1"/>
        <v>1</v>
      </c>
      <c r="I58" s="10" t="b">
        <f t="shared" si="2"/>
        <v>1</v>
      </c>
      <c r="J58" s="2" t="b">
        <f t="shared" si="3"/>
        <v>1</v>
      </c>
    </row>
    <row r="59">
      <c r="A59" s="8">
        <v>45975.0</v>
      </c>
      <c r="B59" s="9">
        <v>57.826</v>
      </c>
      <c r="C59" s="9">
        <v>70.705</v>
      </c>
      <c r="D59" s="9">
        <v>81.13</v>
      </c>
      <c r="E59" s="9">
        <v>91.527</v>
      </c>
      <c r="F59" s="9">
        <v>107.702</v>
      </c>
      <c r="G59" s="10">
        <f>IFERROR(__xludf.DUMMYFUNCTION("IFERROR(INDEX(GOOGLEFINANCE(""PLTR"", ""close"", A59), 2, 2), """")"),174.01)</f>
        <v>174.01</v>
      </c>
      <c r="H59" s="10" t="b">
        <f t="shared" si="1"/>
        <v>1</v>
      </c>
      <c r="I59" s="10" t="b">
        <f t="shared" si="2"/>
        <v>1</v>
      </c>
      <c r="J59" s="2" t="b">
        <f t="shared" si="3"/>
        <v>1</v>
      </c>
    </row>
    <row r="60">
      <c r="A60" s="8">
        <v>45980.0</v>
      </c>
      <c r="B60" s="9">
        <v>61.178</v>
      </c>
      <c r="C60" s="9">
        <v>70.966</v>
      </c>
      <c r="D60" s="9">
        <v>80.188</v>
      </c>
      <c r="E60" s="9">
        <v>90.424</v>
      </c>
      <c r="F60" s="9">
        <v>108.175</v>
      </c>
      <c r="G60" s="10">
        <f>IFERROR(__xludf.DUMMYFUNCTION("IFERROR(INDEX(GOOGLEFINANCE(""PLTR"", ""close"", A60), 2, 2), """")"),165.42)</f>
        <v>165.42</v>
      </c>
      <c r="H60" s="10" t="b">
        <f t="shared" si="1"/>
        <v>1</v>
      </c>
      <c r="I60" s="10" t="b">
        <f t="shared" si="2"/>
        <v>1</v>
      </c>
      <c r="J60" s="2" t="b">
        <f t="shared" si="3"/>
        <v>1</v>
      </c>
    </row>
    <row r="61">
      <c r="A61" s="8">
        <v>45981.0</v>
      </c>
      <c r="B61" s="9">
        <v>59.848</v>
      </c>
      <c r="C61" s="9">
        <v>72.793</v>
      </c>
      <c r="D61" s="9">
        <v>82.252</v>
      </c>
      <c r="E61" s="9">
        <v>95.561</v>
      </c>
      <c r="F61" s="9">
        <v>110.737</v>
      </c>
      <c r="G61" s="10">
        <f>IFERROR(__xludf.DUMMYFUNCTION("IFERROR(INDEX(GOOGLEFINANCE(""PLTR"", ""close"", A61), 2, 2), """")"),155.75)</f>
        <v>155.75</v>
      </c>
      <c r="H61" s="10" t="b">
        <f t="shared" si="1"/>
        <v>1</v>
      </c>
      <c r="I61" s="10" t="b">
        <f t="shared" si="2"/>
        <v>1</v>
      </c>
      <c r="J61" s="2" t="b">
        <f t="shared" si="3"/>
        <v>1</v>
      </c>
    </row>
    <row r="62">
      <c r="A62" s="8">
        <v>45982.0</v>
      </c>
      <c r="B62" s="9">
        <v>58.963</v>
      </c>
      <c r="C62" s="9">
        <v>71.881</v>
      </c>
      <c r="D62" s="9">
        <v>81.739</v>
      </c>
      <c r="E62" s="9">
        <v>93.464</v>
      </c>
      <c r="F62" s="9">
        <v>114.832</v>
      </c>
      <c r="G62" s="10">
        <f>IFERROR(__xludf.DUMMYFUNCTION("IFERROR(INDEX(GOOGLEFINANCE(""PLTR"", ""close"", A62), 2, 2), """")"),154.85)</f>
        <v>154.85</v>
      </c>
      <c r="H62" s="10" t="b">
        <f t="shared" si="1"/>
        <v>1</v>
      </c>
      <c r="I62" s="10" t="b">
        <f t="shared" si="2"/>
        <v>1</v>
      </c>
      <c r="J62" s="2" t="b">
        <f t="shared" si="3"/>
        <v>1</v>
      </c>
    </row>
    <row r="63">
      <c r="A63" s="8">
        <v>45985.0</v>
      </c>
      <c r="B63" s="9">
        <v>58.575</v>
      </c>
      <c r="C63" s="9">
        <v>70.725</v>
      </c>
      <c r="D63" s="9">
        <v>80.936</v>
      </c>
      <c r="E63" s="9">
        <v>92.546</v>
      </c>
      <c r="F63" s="9">
        <v>107.832</v>
      </c>
      <c r="G63" s="10">
        <f>IFERROR(__xludf.DUMMYFUNCTION("IFERROR(INDEX(GOOGLEFINANCE(""PLTR"", ""close"", A63), 2, 2), """")"),162.25)</f>
        <v>162.25</v>
      </c>
      <c r="H63" s="10" t="b">
        <f t="shared" si="1"/>
        <v>1</v>
      </c>
      <c r="I63" s="10" t="b">
        <f t="shared" si="2"/>
        <v>1</v>
      </c>
      <c r="J63" s="2" t="b">
        <f t="shared" si="3"/>
        <v>1</v>
      </c>
    </row>
    <row r="64">
      <c r="A64" s="8">
        <v>45988.0</v>
      </c>
      <c r="B64" s="9">
        <v>60.699</v>
      </c>
      <c r="C64" s="9">
        <v>70.903</v>
      </c>
      <c r="D64" s="9">
        <v>81.278</v>
      </c>
      <c r="E64" s="9">
        <v>90.655</v>
      </c>
      <c r="F64" s="9">
        <v>107.655</v>
      </c>
      <c r="G64" s="10">
        <f>IFERROR(__xludf.DUMMYFUNCTION("IFERROR(INDEX(GOOGLEFINANCE(""PLTR"", ""close"", A64), 2, 2), """")"),168.45)</f>
        <v>168.45</v>
      </c>
      <c r="H64" s="10" t="b">
        <f t="shared" si="1"/>
        <v>1</v>
      </c>
      <c r="I64" s="10" t="b">
        <f t="shared" si="2"/>
        <v>1</v>
      </c>
      <c r="J64" s="2" t="b">
        <f t="shared" si="3"/>
        <v>1</v>
      </c>
    </row>
    <row r="65">
      <c r="A65" s="8">
        <v>45989.0</v>
      </c>
      <c r="B65" s="9">
        <v>60.456</v>
      </c>
      <c r="C65" s="9">
        <v>72.145</v>
      </c>
      <c r="D65" s="9">
        <v>81.944</v>
      </c>
      <c r="E65" s="9">
        <v>92.587</v>
      </c>
      <c r="F65" s="9">
        <v>109.883</v>
      </c>
      <c r="G65" s="10">
        <f>IFERROR(__xludf.DUMMYFUNCTION("IFERROR(INDEX(GOOGLEFINANCE(""PLTR"", ""close"", A65), 2, 2), """")"),168.45)</f>
        <v>168.45</v>
      </c>
      <c r="H65" s="10" t="b">
        <f t="shared" si="1"/>
        <v>1</v>
      </c>
      <c r="I65" s="10" t="b">
        <f t="shared" si="2"/>
        <v>1</v>
      </c>
      <c r="J65" s="2" t="b">
        <f t="shared" si="3"/>
        <v>1</v>
      </c>
    </row>
    <row r="66">
      <c r="A66" s="8">
        <v>45992.0</v>
      </c>
      <c r="B66" s="9">
        <v>58.586</v>
      </c>
      <c r="C66" s="9">
        <v>71.383</v>
      </c>
      <c r="D66" s="9">
        <v>82.151</v>
      </c>
      <c r="E66" s="9">
        <v>94.168</v>
      </c>
      <c r="F66" s="9">
        <v>110.169</v>
      </c>
      <c r="G66" s="10">
        <f>IFERROR(__xludf.DUMMYFUNCTION("IFERROR(INDEX(GOOGLEFINANCE(""PLTR"", ""close"", A66), 2, 2), """")"),167.49)</f>
        <v>167.49</v>
      </c>
      <c r="H66" s="10" t="b">
        <f t="shared" si="1"/>
        <v>1</v>
      </c>
      <c r="I66" s="10" t="b">
        <f t="shared" si="2"/>
        <v>1</v>
      </c>
      <c r="J66" s="2" t="b">
        <f t="shared" si="3"/>
        <v>1</v>
      </c>
    </row>
    <row r="67">
      <c r="A67" s="8">
        <v>45993.0</v>
      </c>
      <c r="B67" s="9">
        <v>61.683</v>
      </c>
      <c r="C67" s="9">
        <v>73.758</v>
      </c>
      <c r="D67" s="9">
        <v>84.475</v>
      </c>
      <c r="E67" s="9">
        <v>101.837</v>
      </c>
      <c r="F67" s="9">
        <v>114.158</v>
      </c>
      <c r="G67" s="10">
        <f>IFERROR(__xludf.DUMMYFUNCTION("IFERROR(INDEX(GOOGLEFINANCE(""PLTR"", ""close"", A67), 2, 2), """")"),170.69)</f>
        <v>170.69</v>
      </c>
      <c r="H67" s="10" t="b">
        <f t="shared" si="1"/>
        <v>1</v>
      </c>
      <c r="I67" s="10" t="b">
        <f t="shared" si="2"/>
        <v>1</v>
      </c>
      <c r="J67" s="2" t="b">
        <f t="shared" si="3"/>
        <v>1</v>
      </c>
    </row>
    <row r="68">
      <c r="A68" s="8">
        <v>45994.0</v>
      </c>
      <c r="B68" s="9">
        <v>61.715</v>
      </c>
      <c r="C68" s="9">
        <v>71.894</v>
      </c>
      <c r="D68" s="9">
        <v>81.465</v>
      </c>
      <c r="E68" s="9">
        <v>90.78</v>
      </c>
      <c r="F68" s="9">
        <v>102.194</v>
      </c>
      <c r="G68" s="10">
        <f>IFERROR(__xludf.DUMMYFUNCTION("IFERROR(INDEX(GOOGLEFINANCE(""PLTR"", ""close"", A68), 2, 2), """")"),176.08)</f>
        <v>176.08</v>
      </c>
      <c r="H68" s="10" t="b">
        <f t="shared" si="1"/>
        <v>1</v>
      </c>
      <c r="I68" s="10" t="b">
        <f t="shared" si="2"/>
        <v>1</v>
      </c>
      <c r="J68" s="2" t="b">
        <f t="shared" si="3"/>
        <v>1</v>
      </c>
    </row>
    <row r="69">
      <c r="A69" s="8">
        <v>45999.0</v>
      </c>
      <c r="B69" s="9">
        <v>60.018</v>
      </c>
      <c r="C69" s="9">
        <v>73.904</v>
      </c>
      <c r="D69" s="9">
        <v>85.068</v>
      </c>
      <c r="E69" s="9">
        <v>96.988</v>
      </c>
      <c r="F69" s="9">
        <v>116.181</v>
      </c>
      <c r="G69" s="10">
        <f>IFERROR(__xludf.DUMMYFUNCTION("IFERROR(INDEX(GOOGLEFINANCE(""PLTR"", ""close"", A69), 2, 2), """")"),181.49)</f>
        <v>181.49</v>
      </c>
      <c r="H69" s="10" t="b">
        <f t="shared" si="1"/>
        <v>1</v>
      </c>
      <c r="I69" s="10" t="b">
        <f t="shared" si="2"/>
        <v>1</v>
      </c>
      <c r="J69" s="2" t="b">
        <f t="shared" si="3"/>
        <v>1</v>
      </c>
    </row>
    <row r="70">
      <c r="A70" s="8">
        <v>46001.0</v>
      </c>
      <c r="B70" s="9">
        <v>63.178</v>
      </c>
      <c r="C70" s="9">
        <v>73.304</v>
      </c>
      <c r="D70" s="9">
        <v>83.24</v>
      </c>
      <c r="E70" s="9">
        <v>98.137</v>
      </c>
      <c r="F70" s="9">
        <v>111.163</v>
      </c>
      <c r="G70" s="10">
        <f>IFERROR(__xludf.DUMMYFUNCTION("IFERROR(INDEX(GOOGLEFINANCE(""PLTR"", ""close"", A70), 2, 2), """")"),187.91)</f>
        <v>187.91</v>
      </c>
      <c r="H70" s="10" t="b">
        <f t="shared" si="1"/>
        <v>1</v>
      </c>
      <c r="I70" s="10" t="b">
        <f t="shared" si="2"/>
        <v>1</v>
      </c>
      <c r="J70" s="2" t="b">
        <f t="shared" si="3"/>
        <v>1</v>
      </c>
    </row>
    <row r="71">
      <c r="A71" s="8">
        <v>46006.0</v>
      </c>
      <c r="B71" s="9">
        <v>61.47</v>
      </c>
      <c r="C71" s="9">
        <v>75.382</v>
      </c>
      <c r="D71" s="9">
        <v>85.34</v>
      </c>
      <c r="E71" s="9">
        <v>97.598</v>
      </c>
      <c r="F71" s="9">
        <v>114.389</v>
      </c>
      <c r="G71" s="10">
        <f>IFERROR(__xludf.DUMMYFUNCTION("IFERROR(INDEX(GOOGLEFINANCE(""PLTR"", ""close"", A71), 2, 2), """")"),183.25)</f>
        <v>183.25</v>
      </c>
      <c r="H71" s="10" t="b">
        <f t="shared" si="1"/>
        <v>1</v>
      </c>
      <c r="I71" s="10" t="b">
        <f t="shared" si="2"/>
        <v>1</v>
      </c>
      <c r="J71" s="2" t="b">
        <f t="shared" si="3"/>
        <v>1</v>
      </c>
    </row>
    <row r="72">
      <c r="A72" s="8">
        <v>46007.0</v>
      </c>
      <c r="B72" s="9">
        <v>63.462</v>
      </c>
      <c r="C72" s="9">
        <v>75.657</v>
      </c>
      <c r="D72" s="9">
        <v>86.349</v>
      </c>
      <c r="E72" s="9">
        <v>98.818</v>
      </c>
      <c r="F72" s="9">
        <v>116.667</v>
      </c>
      <c r="G72" s="10">
        <f>IFERROR(__xludf.DUMMYFUNCTION("IFERROR(INDEX(GOOGLEFINANCE(""PLTR"", ""close"", A72), 2, 2), """")"),187.75)</f>
        <v>187.75</v>
      </c>
      <c r="H72" s="10" t="b">
        <f t="shared" si="1"/>
        <v>1</v>
      </c>
      <c r="I72" s="10" t="b">
        <f t="shared" si="2"/>
        <v>1</v>
      </c>
      <c r="J72" s="2" t="b">
        <f t="shared" si="3"/>
        <v>1</v>
      </c>
    </row>
    <row r="73">
      <c r="A73" s="8">
        <v>46013.0</v>
      </c>
      <c r="B73" s="9">
        <v>63.433</v>
      </c>
      <c r="C73" s="9">
        <v>78.352</v>
      </c>
      <c r="D73" s="9">
        <v>89.668</v>
      </c>
      <c r="E73" s="9">
        <v>101.299</v>
      </c>
      <c r="F73" s="9">
        <v>116.311</v>
      </c>
      <c r="G73" s="10">
        <f>IFERROR(__xludf.DUMMYFUNCTION("IFERROR(INDEX(GOOGLEFINANCE(""PLTR"", ""close"", A73), 2, 2), """")"),193.98)</f>
        <v>193.98</v>
      </c>
      <c r="H73" s="10" t="b">
        <f t="shared" si="1"/>
        <v>1</v>
      </c>
      <c r="I73" s="10" t="b">
        <f t="shared" si="2"/>
        <v>1</v>
      </c>
      <c r="J73" s="2" t="b">
        <f t="shared" si="3"/>
        <v>1</v>
      </c>
    </row>
    <row r="74">
      <c r="A74" s="8">
        <v>46014.0</v>
      </c>
      <c r="B74" s="9">
        <v>63.49</v>
      </c>
      <c r="C74" s="9">
        <v>78.138</v>
      </c>
      <c r="D74" s="9">
        <v>88.078</v>
      </c>
      <c r="E74" s="9">
        <v>100.192</v>
      </c>
      <c r="F74" s="9">
        <v>116.781</v>
      </c>
      <c r="G74" s="10">
        <f>IFERROR(__xludf.DUMMYFUNCTION("IFERROR(INDEX(GOOGLEFINANCE(""PLTR"", ""close"", A74), 2, 2), """")"),194.13)</f>
        <v>194.13</v>
      </c>
      <c r="H74" s="10" t="b">
        <f t="shared" si="1"/>
        <v>1</v>
      </c>
      <c r="I74" s="10" t="b">
        <f t="shared" si="2"/>
        <v>1</v>
      </c>
      <c r="J74" s="2" t="b">
        <f t="shared" si="3"/>
        <v>1</v>
      </c>
    </row>
    <row r="75">
      <c r="A75" s="8">
        <v>46016.0</v>
      </c>
      <c r="B75" s="9">
        <v>65.234</v>
      </c>
      <c r="C75" s="9">
        <v>77.481</v>
      </c>
      <c r="D75" s="9">
        <v>87.372</v>
      </c>
      <c r="E75" s="9">
        <v>98.487</v>
      </c>
      <c r="F75" s="9">
        <v>114.72</v>
      </c>
      <c r="G75" s="10">
        <f>IFERROR(__xludf.DUMMYFUNCTION("IFERROR(INDEX(GOOGLEFINANCE(""PLTR"", ""close"", A75), 2, 2), """")"),188.71)</f>
        <v>188.71</v>
      </c>
      <c r="H75" s="10" t="b">
        <f t="shared" si="1"/>
        <v>1</v>
      </c>
      <c r="I75" s="10" t="b">
        <f t="shared" si="2"/>
        <v>1</v>
      </c>
      <c r="J75" s="2" t="b">
        <f t="shared" si="3"/>
        <v>1</v>
      </c>
    </row>
    <row r="76">
      <c r="A76" s="8">
        <v>46020.0</v>
      </c>
      <c r="B76" s="9">
        <v>64.685</v>
      </c>
      <c r="C76" s="9">
        <v>78.566</v>
      </c>
      <c r="D76" s="9">
        <v>89.075</v>
      </c>
      <c r="E76" s="9">
        <v>99.378</v>
      </c>
      <c r="F76" s="9">
        <v>116.027</v>
      </c>
      <c r="G76" s="10">
        <f>IFERROR(__xludf.DUMMYFUNCTION("IFERROR(INDEX(GOOGLEFINANCE(""PLTR"", ""close"", A76), 2, 2), """")"),184.18)</f>
        <v>184.18</v>
      </c>
      <c r="H76" s="10" t="b">
        <f t="shared" si="1"/>
        <v>1</v>
      </c>
      <c r="I76" s="10" t="b">
        <f t="shared" si="2"/>
        <v>1</v>
      </c>
      <c r="J76" s="2" t="b">
        <f t="shared" si="3"/>
        <v>1</v>
      </c>
    </row>
    <row r="77">
      <c r="A77" s="8">
        <v>46024.0</v>
      </c>
      <c r="B77" s="9">
        <v>67.396</v>
      </c>
      <c r="C77" s="9">
        <v>79.047</v>
      </c>
      <c r="D77" s="9">
        <v>89.438</v>
      </c>
      <c r="E77" s="9">
        <v>100.502</v>
      </c>
      <c r="F77" s="9">
        <v>117.56</v>
      </c>
      <c r="G77" s="10">
        <f>IFERROR(__xludf.DUMMYFUNCTION("IFERROR(INDEX(GOOGLEFINANCE(""PLTR"", ""close"", A77), 2, 2), """")"),167.86)</f>
        <v>167.86</v>
      </c>
      <c r="H77" s="10" t="b">
        <f t="shared" si="1"/>
        <v>1</v>
      </c>
      <c r="I77" s="10" t="b">
        <f t="shared" si="2"/>
        <v>1</v>
      </c>
      <c r="J77" s="2" t="b">
        <f t="shared" si="3"/>
        <v>1</v>
      </c>
    </row>
    <row r="78">
      <c r="A78" s="8">
        <v>46030.0</v>
      </c>
      <c r="B78" s="9">
        <v>69.423</v>
      </c>
      <c r="C78" s="9">
        <v>81.512</v>
      </c>
      <c r="D78" s="9">
        <v>91.626</v>
      </c>
      <c r="E78" s="9">
        <v>102.407</v>
      </c>
      <c r="F78" s="9">
        <v>120.318</v>
      </c>
      <c r="G78" s="10">
        <f>IFERROR(__xludf.DUMMYFUNCTION("IFERROR(INDEX(GOOGLEFINANCE(""PLTR"", ""close"", A78), 2, 2), """")"),176.86)</f>
        <v>176.86</v>
      </c>
      <c r="H78" s="10" t="b">
        <f t="shared" si="1"/>
        <v>1</v>
      </c>
      <c r="I78" s="10" t="b">
        <f t="shared" si="2"/>
        <v>1</v>
      </c>
      <c r="J78" s="2" t="b">
        <f t="shared" si="3"/>
        <v>1</v>
      </c>
    </row>
    <row r="79">
      <c r="A79" s="8">
        <v>46031.0</v>
      </c>
      <c r="B79" s="9">
        <v>67.706</v>
      </c>
      <c r="C79" s="9">
        <v>80.765</v>
      </c>
      <c r="D79" s="9">
        <v>90.965</v>
      </c>
      <c r="E79" s="9">
        <v>101.537</v>
      </c>
      <c r="F79" s="9">
        <v>119.326</v>
      </c>
      <c r="G79" s="10">
        <f>IFERROR(__xludf.DUMMYFUNCTION("IFERROR(INDEX(GOOGLEFINANCE(""PLTR"", ""close"", A79), 2, 2), """")"),177.49)</f>
        <v>177.49</v>
      </c>
      <c r="H79" s="10" t="b">
        <f t="shared" si="1"/>
        <v>1</v>
      </c>
      <c r="I79" s="10" t="b">
        <f t="shared" si="2"/>
        <v>1</v>
      </c>
      <c r="J79" s="2" t="b">
        <f t="shared" si="3"/>
        <v>1</v>
      </c>
    </row>
    <row r="80">
      <c r="A80" s="8">
        <v>46034.0</v>
      </c>
      <c r="B80" s="9">
        <v>67.922</v>
      </c>
      <c r="C80" s="9">
        <v>81.383</v>
      </c>
      <c r="D80" s="9">
        <v>91.786</v>
      </c>
      <c r="E80" s="9">
        <v>104.056</v>
      </c>
      <c r="F80" s="9">
        <v>125.536</v>
      </c>
      <c r="G80" s="10">
        <f>IFERROR(__xludf.DUMMYFUNCTION("IFERROR(INDEX(GOOGLEFINANCE(""PLTR"", ""close"", A80), 2, 2), """")"),179.41)</f>
        <v>179.41</v>
      </c>
      <c r="H80" s="10" t="b">
        <f t="shared" si="1"/>
        <v>1</v>
      </c>
      <c r="I80" s="10" t="b">
        <f t="shared" si="2"/>
        <v>1</v>
      </c>
      <c r="J80" s="2" t="b">
        <f t="shared" si="3"/>
        <v>1</v>
      </c>
    </row>
    <row r="81">
      <c r="A81" s="8">
        <v>46035.0</v>
      </c>
      <c r="B81" s="9">
        <v>68.15</v>
      </c>
      <c r="C81" s="9">
        <v>83.248</v>
      </c>
      <c r="D81" s="9">
        <v>93.254</v>
      </c>
      <c r="E81" s="9">
        <v>104.663</v>
      </c>
      <c r="F81" s="9">
        <v>122.628</v>
      </c>
      <c r="G81" s="10">
        <f>IFERROR(__xludf.DUMMYFUNCTION("IFERROR(INDEX(GOOGLEFINANCE(""PLTR"", ""close"", A81), 2, 2), """")"),178.96)</f>
        <v>178.96</v>
      </c>
      <c r="H81" s="10" t="b">
        <f t="shared" si="1"/>
        <v>1</v>
      </c>
      <c r="I81" s="10" t="b">
        <f t="shared" si="2"/>
        <v>1</v>
      </c>
      <c r="J81" s="2" t="b">
        <f t="shared" si="3"/>
        <v>1</v>
      </c>
    </row>
    <row r="82">
      <c r="A82" s="8">
        <v>46038.0</v>
      </c>
      <c r="B82" s="9">
        <v>66.403</v>
      </c>
      <c r="C82" s="9">
        <v>82.571</v>
      </c>
      <c r="D82" s="9">
        <v>93.057</v>
      </c>
      <c r="E82" s="9">
        <v>109.076</v>
      </c>
      <c r="F82" s="9">
        <v>125.956</v>
      </c>
      <c r="G82" s="10">
        <f>IFERROR(__xludf.DUMMYFUNCTION("IFERROR(INDEX(GOOGLEFINANCE(""PLTR"", ""close"", A82), 2, 2), """")"),170.96)</f>
        <v>170.96</v>
      </c>
      <c r="H82" s="10" t="b">
        <f t="shared" si="1"/>
        <v>1</v>
      </c>
      <c r="I82" s="10" t="b">
        <f t="shared" si="2"/>
        <v>1</v>
      </c>
      <c r="J82" s="2" t="b">
        <f t="shared" si="3"/>
        <v>1</v>
      </c>
    </row>
    <row r="83">
      <c r="A83" s="8">
        <v>46043.0</v>
      </c>
      <c r="B83" s="9">
        <v>70.484</v>
      </c>
      <c r="C83" s="9">
        <v>81.49</v>
      </c>
      <c r="D83" s="9">
        <v>91.885</v>
      </c>
      <c r="E83" s="9">
        <v>103.983</v>
      </c>
      <c r="F83" s="9">
        <v>123.75</v>
      </c>
      <c r="G83" s="10">
        <f>IFERROR(__xludf.DUMMYFUNCTION("IFERROR(INDEX(GOOGLEFINANCE(""PLTR"", ""close"", A83), 2, 2), """")"),165.33)</f>
        <v>165.33</v>
      </c>
      <c r="H83" s="10" t="b">
        <f t="shared" si="1"/>
        <v>1</v>
      </c>
      <c r="I83" s="10" t="b">
        <f t="shared" si="2"/>
        <v>1</v>
      </c>
      <c r="J83" s="2" t="b">
        <f t="shared" si="3"/>
        <v>1</v>
      </c>
    </row>
    <row r="84">
      <c r="A84" s="8">
        <v>46045.0</v>
      </c>
      <c r="B84" s="9">
        <v>69.244</v>
      </c>
      <c r="C84" s="9">
        <v>84.731</v>
      </c>
      <c r="D84" s="9">
        <v>94.997</v>
      </c>
      <c r="E84" s="9">
        <v>107.433</v>
      </c>
      <c r="F84" s="9">
        <v>123.27</v>
      </c>
      <c r="G84" s="10">
        <f>IFERROR(__xludf.DUMMYFUNCTION("IFERROR(INDEX(GOOGLEFINANCE(""PLTR"", ""close"", A84), 2, 2), """")"),169.6)</f>
        <v>169.6</v>
      </c>
      <c r="H84" s="10" t="b">
        <f t="shared" si="1"/>
        <v>1</v>
      </c>
      <c r="I84" s="10" t="b">
        <f t="shared" si="2"/>
        <v>1</v>
      </c>
      <c r="J84" s="2" t="b">
        <f t="shared" si="3"/>
        <v>1</v>
      </c>
    </row>
    <row r="85">
      <c r="A85" s="8">
        <v>46048.0</v>
      </c>
      <c r="B85" s="9">
        <v>70.45</v>
      </c>
      <c r="C85" s="9">
        <v>85.544</v>
      </c>
      <c r="D85" s="9">
        <v>95.903</v>
      </c>
      <c r="E85" s="9">
        <v>109.442</v>
      </c>
      <c r="F85" s="9">
        <v>124.786</v>
      </c>
      <c r="G85" s="10">
        <f>IFERROR(__xludf.DUMMYFUNCTION("IFERROR(INDEX(GOOGLEFINANCE(""PLTR"", ""close"", A85), 2, 2), """")"),167.47)</f>
        <v>167.47</v>
      </c>
      <c r="H85" s="10" t="b">
        <f t="shared" si="1"/>
        <v>1</v>
      </c>
      <c r="I85" s="10" t="b">
        <f t="shared" si="2"/>
        <v>1</v>
      </c>
      <c r="J85" s="2" t="b">
        <f t="shared" si="3"/>
        <v>1</v>
      </c>
    </row>
    <row r="86">
      <c r="A86" s="8">
        <v>46049.0</v>
      </c>
      <c r="B86" s="9">
        <v>70.374</v>
      </c>
      <c r="C86" s="9">
        <v>85.816</v>
      </c>
      <c r="D86" s="9">
        <v>96.812</v>
      </c>
      <c r="E86" s="9">
        <v>113.059</v>
      </c>
      <c r="F86" s="9">
        <v>130.581</v>
      </c>
      <c r="G86" s="10">
        <f>IFERROR(__xludf.DUMMYFUNCTION("IFERROR(INDEX(GOOGLEFINANCE(""PLTR"", ""close"", A86), 2, 2), """")"),165.7)</f>
        <v>165.7</v>
      </c>
      <c r="H86" s="10" t="b">
        <f t="shared" si="1"/>
        <v>1</v>
      </c>
      <c r="I86" s="10" t="b">
        <f t="shared" si="2"/>
        <v>1</v>
      </c>
      <c r="J86" s="2" t="b">
        <f t="shared" si="3"/>
        <v>1</v>
      </c>
    </row>
    <row r="87">
      <c r="A87" s="8">
        <v>46050.0</v>
      </c>
      <c r="B87" s="9">
        <v>70.059</v>
      </c>
      <c r="C87" s="9">
        <v>83.813</v>
      </c>
      <c r="D87" s="9">
        <v>95.026</v>
      </c>
      <c r="E87" s="9">
        <v>107.331</v>
      </c>
      <c r="F87" s="9">
        <v>122.471</v>
      </c>
      <c r="G87" s="10">
        <f>IFERROR(__xludf.DUMMYFUNCTION("IFERROR(INDEX(GOOGLEFINANCE(""PLTR"", ""close"", A87), 2, 2), """")"),157.35)</f>
        <v>157.35</v>
      </c>
      <c r="H87" s="10" t="b">
        <f t="shared" si="1"/>
        <v>1</v>
      </c>
      <c r="I87" s="10" t="b">
        <f t="shared" si="2"/>
        <v>1</v>
      </c>
      <c r="J87" s="2" t="b">
        <f t="shared" si="3"/>
        <v>1</v>
      </c>
    </row>
    <row r="88">
      <c r="A88" s="8">
        <v>46051.0</v>
      </c>
      <c r="B88" s="9">
        <v>73.051</v>
      </c>
      <c r="C88" s="9">
        <v>88.31</v>
      </c>
      <c r="D88" s="9">
        <v>98.788</v>
      </c>
      <c r="E88" s="9">
        <v>109.845</v>
      </c>
      <c r="F88" s="9">
        <v>128.121</v>
      </c>
      <c r="G88" s="10">
        <f>IFERROR(__xludf.DUMMYFUNCTION("IFERROR(INDEX(GOOGLEFINANCE(""PLTR"", ""close"", A88), 2, 2), """")"),151.86)</f>
        <v>151.86</v>
      </c>
      <c r="H88" s="10" t="b">
        <f t="shared" si="1"/>
        <v>1</v>
      </c>
      <c r="I88" s="10" t="b">
        <f t="shared" si="2"/>
        <v>1</v>
      </c>
      <c r="J88" s="2" t="b">
        <f t="shared" si="3"/>
        <v>1</v>
      </c>
    </row>
    <row r="89">
      <c r="A89" s="8">
        <v>46052.0</v>
      </c>
      <c r="B89" s="9">
        <v>71.511</v>
      </c>
      <c r="C89" s="9">
        <v>87.97</v>
      </c>
      <c r="D89" s="9">
        <v>98.658</v>
      </c>
      <c r="E89" s="9">
        <v>109.386</v>
      </c>
      <c r="F89" s="9">
        <v>126.371</v>
      </c>
      <c r="G89" s="10">
        <f>IFERROR(__xludf.DUMMYFUNCTION("IFERROR(INDEX(GOOGLEFINANCE(""PLTR"", ""close"", A89), 2, 2), """")"),146.59)</f>
        <v>146.59</v>
      </c>
      <c r="H89" s="10" t="b">
        <f t="shared" si="1"/>
        <v>1</v>
      </c>
      <c r="I89" s="10" t="b">
        <f t="shared" si="2"/>
        <v>1</v>
      </c>
      <c r="J89" s="2" t="b">
        <f t="shared" si="3"/>
        <v>1</v>
      </c>
    </row>
    <row r="90">
      <c r="A90" s="8">
        <v>46055.0</v>
      </c>
      <c r="B90" s="9">
        <v>73.101</v>
      </c>
      <c r="C90" s="9">
        <v>89.757</v>
      </c>
      <c r="D90" s="9">
        <v>100.373</v>
      </c>
      <c r="E90" s="9">
        <v>111.054</v>
      </c>
      <c r="F90" s="9">
        <v>129.718</v>
      </c>
      <c r="G90" s="10">
        <f>IFERROR(__xludf.DUMMYFUNCTION("IFERROR(INDEX(GOOGLEFINANCE(""PLTR"", ""close"", A90), 2, 2), """")"),147.76)</f>
        <v>147.76</v>
      </c>
      <c r="H90" s="10" t="b">
        <f t="shared" si="1"/>
        <v>1</v>
      </c>
      <c r="I90" s="10" t="b">
        <f t="shared" si="2"/>
        <v>1</v>
      </c>
      <c r="J90" s="2" t="b">
        <f t="shared" si="3"/>
        <v>1</v>
      </c>
    </row>
    <row r="91">
      <c r="A91" s="8">
        <v>46056.0</v>
      </c>
      <c r="B91" s="9">
        <v>75.262</v>
      </c>
      <c r="C91" s="9">
        <v>89.661</v>
      </c>
      <c r="D91" s="9">
        <v>100.676</v>
      </c>
      <c r="E91" s="9">
        <v>111.268</v>
      </c>
      <c r="F91" s="9">
        <v>125.978</v>
      </c>
      <c r="G91" s="10">
        <f>IFERROR(__xludf.DUMMYFUNCTION("IFERROR(INDEX(GOOGLEFINANCE(""PLTR"", ""close"", A91), 2, 2), """")"),157.88)</f>
        <v>157.88</v>
      </c>
      <c r="H91" s="10" t="b">
        <f t="shared" si="1"/>
        <v>1</v>
      </c>
      <c r="I91" s="10" t="b">
        <f t="shared" si="2"/>
        <v>1</v>
      </c>
      <c r="J91" s="2" t="b">
        <f t="shared" si="3"/>
        <v>1</v>
      </c>
    </row>
    <row r="92">
      <c r="A92" s="8">
        <v>46057.0</v>
      </c>
      <c r="B92" s="9">
        <v>73.813</v>
      </c>
      <c r="C92" s="9">
        <v>87.652</v>
      </c>
      <c r="D92" s="9">
        <v>98.274</v>
      </c>
      <c r="E92" s="9">
        <v>109.091</v>
      </c>
      <c r="F92" s="9">
        <v>127.767</v>
      </c>
      <c r="G92" s="10">
        <f>IFERROR(__xludf.DUMMYFUNCTION("IFERROR(INDEX(GOOGLEFINANCE(""PLTR"", ""close"", A92), 2, 2), """")"),139.54)</f>
        <v>139.54</v>
      </c>
      <c r="H92" s="10" t="b">
        <f t="shared" si="1"/>
        <v>1</v>
      </c>
      <c r="I92" s="10" t="b">
        <f t="shared" si="2"/>
        <v>1</v>
      </c>
      <c r="J92" s="2" t="b">
        <f t="shared" si="3"/>
        <v>1</v>
      </c>
    </row>
    <row r="93">
      <c r="A93" s="8">
        <v>46058.0</v>
      </c>
      <c r="B93" s="9">
        <v>76.946</v>
      </c>
      <c r="C93" s="9">
        <v>90.09</v>
      </c>
      <c r="D93" s="9">
        <v>100.775</v>
      </c>
      <c r="E93" s="9">
        <v>111.438</v>
      </c>
      <c r="F93" s="9">
        <v>128.231</v>
      </c>
      <c r="G93" s="10">
        <f>IFERROR(__xludf.DUMMYFUNCTION("IFERROR(INDEX(GOOGLEFINANCE(""PLTR"", ""close"", A93), 2, 2), """")"),130.01)</f>
        <v>130.01</v>
      </c>
      <c r="H93" s="10" t="b">
        <f t="shared" si="1"/>
        <v>1</v>
      </c>
      <c r="I93" s="10" t="b">
        <f t="shared" si="2"/>
        <v>1</v>
      </c>
      <c r="J93" s="2" t="b">
        <f t="shared" si="3"/>
        <v>1</v>
      </c>
    </row>
    <row r="94">
      <c r="A94" s="8">
        <v>46059.0</v>
      </c>
      <c r="B94" s="9">
        <v>73.38</v>
      </c>
      <c r="C94" s="9">
        <v>88.368</v>
      </c>
      <c r="D94" s="9">
        <v>98.701</v>
      </c>
      <c r="E94" s="9">
        <v>109.215</v>
      </c>
      <c r="F94" s="9">
        <v>126.311</v>
      </c>
      <c r="G94" s="10">
        <f>IFERROR(__xludf.DUMMYFUNCTION("IFERROR(INDEX(GOOGLEFINANCE(""PLTR"", ""close"", A94), 2, 2), """")"),135.9)</f>
        <v>135.9</v>
      </c>
      <c r="H94" s="10" t="b">
        <f t="shared" si="1"/>
        <v>1</v>
      </c>
      <c r="I94" s="10" t="b">
        <f t="shared" si="2"/>
        <v>1</v>
      </c>
      <c r="J94" s="2" t="b">
        <f t="shared" si="3"/>
        <v>1</v>
      </c>
    </row>
    <row r="95">
      <c r="A95" s="8">
        <v>46062.0</v>
      </c>
      <c r="B95" s="9">
        <v>71.491</v>
      </c>
      <c r="C95" s="9">
        <v>90.995</v>
      </c>
      <c r="D95" s="9">
        <v>101.279</v>
      </c>
      <c r="E95" s="9">
        <v>112.355</v>
      </c>
      <c r="F95" s="9">
        <v>128.777</v>
      </c>
      <c r="G95" s="10">
        <f>IFERROR(__xludf.DUMMYFUNCTION("IFERROR(INDEX(GOOGLEFINANCE(""PLTR"", ""close"", A95), 2, 2), """")"),142.91)</f>
        <v>142.91</v>
      </c>
      <c r="H95" s="10" t="b">
        <f t="shared" si="1"/>
        <v>1</v>
      </c>
      <c r="I95" s="10" t="b">
        <f t="shared" si="2"/>
        <v>1</v>
      </c>
      <c r="J95" s="2" t="b">
        <f t="shared" si="3"/>
        <v>1</v>
      </c>
    </row>
    <row r="96">
      <c r="A96" s="8">
        <v>46063.0</v>
      </c>
      <c r="B96" s="9">
        <v>74.391</v>
      </c>
      <c r="C96" s="9">
        <v>89.816</v>
      </c>
      <c r="D96" s="9">
        <v>100.676</v>
      </c>
      <c r="E96" s="9">
        <v>117.817</v>
      </c>
      <c r="F96" s="9">
        <v>134.946</v>
      </c>
      <c r="G96" s="10">
        <f>IFERROR(__xludf.DUMMYFUNCTION("IFERROR(INDEX(GOOGLEFINANCE(""PLTR"", ""close"", A96), 2, 2), """")"),139.51)</f>
        <v>139.51</v>
      </c>
      <c r="H96" s="10" t="b">
        <f t="shared" si="1"/>
        <v>1</v>
      </c>
      <c r="I96" s="10" t="b">
        <f t="shared" si="2"/>
        <v>1</v>
      </c>
      <c r="J96" s="2" t="b">
        <f t="shared" si="3"/>
        <v>1</v>
      </c>
    </row>
    <row r="97">
      <c r="A97" s="8">
        <v>46064.0</v>
      </c>
      <c r="B97" s="9">
        <v>73.678</v>
      </c>
      <c r="C97" s="9">
        <v>86.91</v>
      </c>
      <c r="D97" s="9">
        <v>96.951</v>
      </c>
      <c r="E97" s="9">
        <v>109.662</v>
      </c>
      <c r="F97" s="9">
        <v>129.579</v>
      </c>
      <c r="G97" s="10">
        <f>IFERROR(__xludf.DUMMYFUNCTION("IFERROR(INDEX(GOOGLEFINANCE(""PLTR"", ""close"", A97), 2, 2), """")"),135.68)</f>
        <v>135.68</v>
      </c>
      <c r="H97" s="10" t="b">
        <f t="shared" si="1"/>
        <v>1</v>
      </c>
      <c r="I97" s="10" t="b">
        <f t="shared" si="2"/>
        <v>1</v>
      </c>
      <c r="J97" s="2" t="b">
        <f t="shared" si="3"/>
        <v>1</v>
      </c>
    </row>
    <row r="98">
      <c r="A98" s="8">
        <v>46065.0</v>
      </c>
      <c r="B98" s="9">
        <v>75.15</v>
      </c>
      <c r="C98" s="9">
        <v>93.1</v>
      </c>
      <c r="D98" s="9">
        <v>103.841</v>
      </c>
      <c r="E98" s="9">
        <v>114.573</v>
      </c>
      <c r="F98" s="9">
        <v>136.126</v>
      </c>
      <c r="G98" s="10">
        <f>IFERROR(__xludf.DUMMYFUNCTION("IFERROR(INDEX(GOOGLEFINANCE(""PLTR"", ""close"", A98), 2, 2), """")"),129.13)</f>
        <v>129.13</v>
      </c>
      <c r="H98" s="10" t="b">
        <f t="shared" si="1"/>
        <v>1</v>
      </c>
      <c r="I98" s="10" t="b">
        <f t="shared" si="2"/>
        <v>1</v>
      </c>
      <c r="J98" s="2" t="b">
        <f t="shared" si="3"/>
        <v>0</v>
      </c>
    </row>
    <row r="99">
      <c r="A99" s="8">
        <v>46066.0</v>
      </c>
      <c r="B99" s="9">
        <v>75.675</v>
      </c>
      <c r="C99" s="9">
        <v>89.84</v>
      </c>
      <c r="D99" s="9">
        <v>100.091</v>
      </c>
      <c r="E99" s="9">
        <v>111.825</v>
      </c>
      <c r="F99" s="9">
        <v>128.668</v>
      </c>
      <c r="G99" s="10">
        <f>IFERROR(__xludf.DUMMYFUNCTION("IFERROR(INDEX(GOOGLEFINANCE(""PLTR"", ""close"", A99), 2, 2), """")"),131.41)</f>
        <v>131.41</v>
      </c>
      <c r="H99" s="10" t="b">
        <f t="shared" si="1"/>
        <v>1</v>
      </c>
      <c r="I99" s="10" t="b">
        <f t="shared" si="2"/>
        <v>1</v>
      </c>
      <c r="J99" s="2" t="b">
        <f t="shared" si="3"/>
        <v>1</v>
      </c>
    </row>
    <row r="100">
      <c r="A100" s="8">
        <v>46070.0</v>
      </c>
      <c r="B100" s="9">
        <v>78.106</v>
      </c>
      <c r="C100" s="9">
        <v>93.661</v>
      </c>
      <c r="D100" s="9">
        <v>104.878</v>
      </c>
      <c r="E100" s="9">
        <v>116.438</v>
      </c>
      <c r="F100" s="9">
        <v>137.588</v>
      </c>
      <c r="G100" s="10">
        <f>IFERROR(__xludf.DUMMYFUNCTION("IFERROR(INDEX(GOOGLEFINANCE(""PLTR"", ""close"", A100), 2, 2), """")"),133.02)</f>
        <v>133.02</v>
      </c>
      <c r="H100" s="10" t="b">
        <f t="shared" si="1"/>
        <v>1</v>
      </c>
      <c r="I100" s="10" t="b">
        <f t="shared" si="2"/>
        <v>1</v>
      </c>
      <c r="J100" s="2" t="b">
        <f t="shared" si="3"/>
        <v>0</v>
      </c>
    </row>
    <row r="101">
      <c r="A101" s="8">
        <v>46071.0</v>
      </c>
      <c r="B101" s="9">
        <v>78.339</v>
      </c>
      <c r="C101" s="9">
        <v>90.665</v>
      </c>
      <c r="D101" s="9">
        <v>100.945</v>
      </c>
      <c r="E101" s="9">
        <v>112.967</v>
      </c>
      <c r="F101" s="9">
        <v>130.197</v>
      </c>
      <c r="G101" s="10">
        <f>IFERROR(__xludf.DUMMYFUNCTION("IFERROR(INDEX(GOOGLEFINANCE(""PLTR"", ""close"", A101), 2, 2), """")"),135.38)</f>
        <v>135.38</v>
      </c>
      <c r="H101" s="10" t="b">
        <f t="shared" si="1"/>
        <v>1</v>
      </c>
      <c r="I101" s="10" t="b">
        <f t="shared" si="2"/>
        <v>1</v>
      </c>
      <c r="J101" s="2" t="b">
        <f t="shared" si="3"/>
        <v>1</v>
      </c>
    </row>
    <row r="102">
      <c r="A102" s="8">
        <v>46072.0</v>
      </c>
      <c r="B102" s="9">
        <v>74.672</v>
      </c>
      <c r="C102" s="9">
        <v>92.448</v>
      </c>
      <c r="D102" s="9">
        <v>103.049</v>
      </c>
      <c r="E102" s="9">
        <v>113.761</v>
      </c>
      <c r="F102" s="9">
        <v>131.167</v>
      </c>
      <c r="G102" s="10">
        <f>IFERROR(__xludf.DUMMYFUNCTION("IFERROR(INDEX(GOOGLEFINANCE(""PLTR"", ""close"", A102), 2, 2), """")"),134.89)</f>
        <v>134.89</v>
      </c>
      <c r="H102" s="10" t="b">
        <f t="shared" si="1"/>
        <v>1</v>
      </c>
      <c r="I102" s="10" t="b">
        <f t="shared" si="2"/>
        <v>1</v>
      </c>
      <c r="J102" s="2" t="b">
        <f t="shared" si="3"/>
        <v>1</v>
      </c>
    </row>
    <row r="103">
      <c r="A103" s="8">
        <v>46073.0</v>
      </c>
      <c r="B103" s="9">
        <v>75.99</v>
      </c>
      <c r="C103" s="9">
        <v>93.081</v>
      </c>
      <c r="D103" s="9">
        <v>104.127</v>
      </c>
      <c r="E103" s="9">
        <v>115.707</v>
      </c>
      <c r="F103" s="9">
        <v>133.969</v>
      </c>
      <c r="G103" s="10">
        <f>IFERROR(__xludf.DUMMYFUNCTION("IFERROR(INDEX(GOOGLEFINANCE(""PLTR"", ""close"", A103), 2, 2), """")"),135.24)</f>
        <v>135.24</v>
      </c>
      <c r="H103" s="10" t="b">
        <f t="shared" si="1"/>
        <v>1</v>
      </c>
      <c r="I103" s="10" t="b">
        <f t="shared" si="2"/>
        <v>1</v>
      </c>
      <c r="J103" s="2" t="b">
        <f t="shared" si="3"/>
        <v>1</v>
      </c>
    </row>
    <row r="104">
      <c r="A104" s="8">
        <v>46076.0</v>
      </c>
      <c r="B104" s="9">
        <v>78.041</v>
      </c>
      <c r="C104" s="9">
        <v>95.033</v>
      </c>
      <c r="D104" s="9">
        <v>105.931</v>
      </c>
      <c r="E104" s="9">
        <v>117.051</v>
      </c>
      <c r="F104" s="9">
        <v>133.402</v>
      </c>
      <c r="G104" s="10">
        <f>IFERROR(__xludf.DUMMYFUNCTION("IFERROR(INDEX(GOOGLEFINANCE(""PLTR"", ""close"", A104), 2, 2), """")"),130.6)</f>
        <v>130.6</v>
      </c>
      <c r="H104" s="10" t="b">
        <f t="shared" si="1"/>
        <v>1</v>
      </c>
      <c r="I104" s="10" t="b">
        <f t="shared" si="2"/>
        <v>1</v>
      </c>
      <c r="J104" s="2" t="b">
        <f t="shared" si="3"/>
        <v>0</v>
      </c>
    </row>
    <row r="105">
      <c r="A105" s="8">
        <v>46077.0</v>
      </c>
      <c r="B105" s="9">
        <v>76.096</v>
      </c>
      <c r="C105" s="9">
        <v>93.306</v>
      </c>
      <c r="D105" s="9">
        <v>104.463</v>
      </c>
      <c r="E105" s="9">
        <v>121.479</v>
      </c>
      <c r="F105" s="9">
        <v>137.73</v>
      </c>
      <c r="G105" s="10">
        <f>IFERROR(__xludf.DUMMYFUNCTION("IFERROR(INDEX(GOOGLEFINANCE(""PLTR"", ""close"", A105), 2, 2), """")"),128.84)</f>
        <v>128.84</v>
      </c>
      <c r="H105" s="10" t="b">
        <f t="shared" si="1"/>
        <v>1</v>
      </c>
      <c r="I105" s="10" t="b">
        <f t="shared" si="2"/>
        <v>1</v>
      </c>
      <c r="J105" s="2" t="b">
        <f t="shared" si="3"/>
        <v>0</v>
      </c>
    </row>
    <row r="106">
      <c r="A106" s="8">
        <v>46078.0</v>
      </c>
      <c r="B106" s="9">
        <v>76.778</v>
      </c>
      <c r="C106" s="9">
        <v>91.726</v>
      </c>
      <c r="D106" s="9">
        <v>102.573</v>
      </c>
      <c r="E106" s="9">
        <v>116.111</v>
      </c>
      <c r="F106" s="9">
        <v>135.291</v>
      </c>
      <c r="G106" s="10">
        <f>IFERROR(__xludf.DUMMYFUNCTION("IFERROR(INDEX(GOOGLEFINANCE(""PLTR"", ""close"", A106), 2, 2), """")"),134.19)</f>
        <v>134.19</v>
      </c>
      <c r="H106" s="10" t="b">
        <f t="shared" si="1"/>
        <v>1</v>
      </c>
      <c r="I106" s="10" t="b">
        <f t="shared" si="2"/>
        <v>1</v>
      </c>
      <c r="J106" s="2" t="b">
        <f t="shared" si="3"/>
        <v>0</v>
      </c>
    </row>
    <row r="107">
      <c r="A107" s="8">
        <v>46079.0</v>
      </c>
      <c r="B107" s="9">
        <v>75.413</v>
      </c>
      <c r="C107" s="9">
        <v>92.958</v>
      </c>
      <c r="D107" s="9">
        <v>103.965</v>
      </c>
      <c r="E107" s="9">
        <v>116.757</v>
      </c>
      <c r="F107" s="9">
        <v>135.375</v>
      </c>
      <c r="G107" s="10">
        <f>IFERROR(__xludf.DUMMYFUNCTION("IFERROR(INDEX(GOOGLEFINANCE(""PLTR"", ""close"", A107), 2, 2), """")"),135.94)</f>
        <v>135.94</v>
      </c>
      <c r="H107" s="10" t="b">
        <f t="shared" si="1"/>
        <v>1</v>
      </c>
      <c r="I107" s="10" t="b">
        <f t="shared" si="2"/>
        <v>1</v>
      </c>
      <c r="J107" s="2" t="b">
        <f t="shared" si="3"/>
        <v>1</v>
      </c>
    </row>
    <row r="108">
      <c r="A108" s="8">
        <v>46080.0</v>
      </c>
      <c r="B108" s="9">
        <v>75.553</v>
      </c>
      <c r="C108" s="9">
        <v>94.73</v>
      </c>
      <c r="D108" s="9">
        <v>105.492</v>
      </c>
      <c r="E108" s="9">
        <v>117.139</v>
      </c>
      <c r="F108" s="9">
        <v>134.688</v>
      </c>
      <c r="G108" s="10">
        <f>IFERROR(__xludf.DUMMYFUNCTION("IFERROR(INDEX(GOOGLEFINANCE(""PLTR"", ""close"", A108), 2, 2), """")"),137.19)</f>
        <v>137.19</v>
      </c>
      <c r="H108" s="10" t="b">
        <f t="shared" si="1"/>
        <v>1</v>
      </c>
      <c r="I108" s="10" t="b">
        <f t="shared" si="2"/>
        <v>1</v>
      </c>
      <c r="J108" s="2" t="b">
        <f t="shared" si="3"/>
        <v>1</v>
      </c>
    </row>
    <row r="109">
      <c r="A109" s="8">
        <v>46083.0</v>
      </c>
      <c r="B109" s="9">
        <v>79.011</v>
      </c>
      <c r="C109" s="9">
        <v>96.788</v>
      </c>
      <c r="D109" s="9">
        <v>107.733</v>
      </c>
      <c r="E109" s="9">
        <v>120.396</v>
      </c>
      <c r="F109" s="9">
        <v>136.046</v>
      </c>
      <c r="G109" s="10">
        <f>IFERROR(__xludf.DUMMYFUNCTION("IFERROR(INDEX(GOOGLEFINANCE(""PLTR"", ""close"", A109), 2, 2), """")"),145.17)</f>
        <v>145.17</v>
      </c>
      <c r="H109" s="10" t="b">
        <f t="shared" si="1"/>
        <v>1</v>
      </c>
      <c r="I109" s="10" t="b">
        <f t="shared" si="2"/>
        <v>1</v>
      </c>
      <c r="J109" s="2" t="b">
        <f t="shared" si="3"/>
        <v>1</v>
      </c>
    </row>
    <row r="110">
      <c r="A110" s="8">
        <v>46084.0</v>
      </c>
      <c r="B110" s="9">
        <v>79.125</v>
      </c>
      <c r="C110" s="9">
        <v>95.225</v>
      </c>
      <c r="D110" s="9">
        <v>106.544</v>
      </c>
      <c r="E110" s="9">
        <v>119.828</v>
      </c>
      <c r="F110" s="9">
        <v>138.491</v>
      </c>
      <c r="G110" s="10">
        <f>IFERROR(__xludf.DUMMYFUNCTION("IFERROR(INDEX(GOOGLEFINANCE(""PLTR"", ""close"", A110), 2, 2), """")"),147.22)</f>
        <v>147.22</v>
      </c>
      <c r="H110" s="10" t="b">
        <f t="shared" si="1"/>
        <v>1</v>
      </c>
      <c r="I110" s="10" t="b">
        <f t="shared" si="2"/>
        <v>1</v>
      </c>
      <c r="J110" s="2" t="b">
        <f t="shared" si="3"/>
        <v>1</v>
      </c>
    </row>
    <row r="111">
      <c r="A111" s="8">
        <v>46085.0</v>
      </c>
      <c r="B111" s="9">
        <v>76.583</v>
      </c>
      <c r="C111" s="9">
        <v>91.073</v>
      </c>
      <c r="D111" s="9">
        <v>102.454</v>
      </c>
      <c r="E111" s="9">
        <v>114.329</v>
      </c>
      <c r="F111" s="9">
        <v>135.961</v>
      </c>
      <c r="G111" s="10">
        <f>IFERROR(__xludf.DUMMYFUNCTION("IFERROR(INDEX(GOOGLEFINANCE(""PLTR"", ""close"", A111), 2, 2), """")"),153.19)</f>
        <v>153.19</v>
      </c>
      <c r="H111" s="10" t="b">
        <f t="shared" si="1"/>
        <v>1</v>
      </c>
      <c r="I111" s="10" t="b">
        <f t="shared" si="2"/>
        <v>1</v>
      </c>
      <c r="J111" s="2" t="b">
        <f t="shared" si="3"/>
        <v>1</v>
      </c>
    </row>
    <row r="112">
      <c r="A112" s="8">
        <v>46086.0</v>
      </c>
      <c r="B112" s="9">
        <v>75.959</v>
      </c>
      <c r="C112" s="9">
        <v>94.763</v>
      </c>
      <c r="D112" s="9">
        <v>106.309</v>
      </c>
      <c r="E112" s="9">
        <v>117.421</v>
      </c>
      <c r="F112" s="9">
        <v>136.857</v>
      </c>
      <c r="G112" s="10">
        <f>IFERROR(__xludf.DUMMYFUNCTION("IFERROR(INDEX(GOOGLEFINANCE(""PLTR"", ""close"", A112), 2, 2), """")"),152.67)</f>
        <v>152.67</v>
      </c>
      <c r="H112" s="10" t="b">
        <f t="shared" si="1"/>
        <v>1</v>
      </c>
      <c r="I112" s="10" t="b">
        <f t="shared" si="2"/>
        <v>1</v>
      </c>
      <c r="J112" s="2" t="b">
        <f t="shared" si="3"/>
        <v>1</v>
      </c>
    </row>
    <row r="113">
      <c r="A113" s="8">
        <v>46087.0</v>
      </c>
      <c r="B113" s="9">
        <v>78.585</v>
      </c>
      <c r="C113" s="9">
        <v>97.5</v>
      </c>
      <c r="D113" s="9">
        <v>108.8</v>
      </c>
      <c r="E113" s="9">
        <v>121.544</v>
      </c>
      <c r="F113" s="9">
        <v>137.787</v>
      </c>
      <c r="G113" s="10">
        <f>IFERROR(__xludf.DUMMYFUNCTION("IFERROR(INDEX(GOOGLEFINANCE(""PLTR"", ""close"", A113), 2, 2), """")"),157.16)</f>
        <v>157.16</v>
      </c>
      <c r="H113" s="10" t="b">
        <f t="shared" si="1"/>
        <v>1</v>
      </c>
      <c r="I113" s="10" t="b">
        <f t="shared" si="2"/>
        <v>1</v>
      </c>
      <c r="J113" s="2" t="b">
        <f t="shared" si="3"/>
        <v>1</v>
      </c>
    </row>
    <row r="114">
      <c r="A114" s="8">
        <v>46090.0</v>
      </c>
      <c r="B114" s="9">
        <v>76.853</v>
      </c>
      <c r="C114" s="9">
        <v>99.537</v>
      </c>
      <c r="D114" s="9">
        <v>110.999</v>
      </c>
      <c r="E114" s="9">
        <v>122.358</v>
      </c>
      <c r="F114" s="9">
        <v>142.616</v>
      </c>
      <c r="G114" s="10">
        <f>IFERROR(__xludf.DUMMYFUNCTION("IFERROR(INDEX(GOOGLEFINANCE(""PLTR"", ""close"", A114), 2, 2), """")"),156.43)</f>
        <v>156.43</v>
      </c>
      <c r="H114" s="10" t="b">
        <f t="shared" si="1"/>
        <v>1</v>
      </c>
      <c r="I114" s="10" t="b">
        <f t="shared" si="2"/>
        <v>1</v>
      </c>
      <c r="J114" s="2" t="b">
        <f t="shared" si="3"/>
        <v>1</v>
      </c>
    </row>
    <row r="115">
      <c r="A115" s="8">
        <v>46091.0</v>
      </c>
      <c r="B115" s="9">
        <v>78.544</v>
      </c>
      <c r="C115" s="9">
        <v>98.444</v>
      </c>
      <c r="D115" s="9">
        <v>109.72</v>
      </c>
      <c r="E115" s="9">
        <v>123.475</v>
      </c>
      <c r="F115" s="9">
        <v>141.557</v>
      </c>
      <c r="G115" s="10">
        <f>IFERROR(__xludf.DUMMYFUNCTION("IFERROR(INDEX(GOOGLEFINANCE(""PLTR"", ""close"", A115), 2, 2), """")"),151.14)</f>
        <v>151.14</v>
      </c>
      <c r="H115" s="10" t="b">
        <f t="shared" si="1"/>
        <v>1</v>
      </c>
      <c r="I115" s="10" t="b">
        <f t="shared" si="2"/>
        <v>1</v>
      </c>
      <c r="J115" s="2" t="b">
        <f t="shared" si="3"/>
        <v>1</v>
      </c>
    </row>
    <row r="116">
      <c r="A116" s="8">
        <v>46092.0</v>
      </c>
      <c r="B116" s="9">
        <v>75.42</v>
      </c>
      <c r="C116" s="9">
        <v>93.351</v>
      </c>
      <c r="D116" s="9">
        <v>104.19</v>
      </c>
      <c r="E116" s="9">
        <v>115.737</v>
      </c>
      <c r="F116" s="9">
        <v>133.01</v>
      </c>
      <c r="G116" s="10">
        <f>IFERROR(__xludf.DUMMYFUNCTION("IFERROR(INDEX(GOOGLEFINANCE(""PLTR"", ""close"", A116), 2, 2), """")"),151.6)</f>
        <v>151.6</v>
      </c>
      <c r="H116" s="10" t="b">
        <f t="shared" si="1"/>
        <v>1</v>
      </c>
      <c r="I116" s="10" t="b">
        <f t="shared" si="2"/>
        <v>1</v>
      </c>
      <c r="J116" s="2" t="b">
        <f t="shared" si="3"/>
        <v>1</v>
      </c>
    </row>
    <row r="117">
      <c r="A117" s="8">
        <v>46093.0</v>
      </c>
      <c r="B117" s="9">
        <v>78.703</v>
      </c>
      <c r="C117" s="9">
        <v>97.47</v>
      </c>
      <c r="D117" s="9">
        <v>108.15</v>
      </c>
      <c r="E117" s="9">
        <v>120.436</v>
      </c>
      <c r="F117" s="9">
        <v>137.828</v>
      </c>
      <c r="G117" s="10">
        <f>IFERROR(__xludf.DUMMYFUNCTION("IFERROR(INDEX(GOOGLEFINANCE(""PLTR"", ""close"", A117), 2, 2), """")"),153.5)</f>
        <v>153.5</v>
      </c>
      <c r="H117" s="10" t="b">
        <f t="shared" si="1"/>
        <v>1</v>
      </c>
      <c r="I117" s="10" t="b">
        <f t="shared" si="2"/>
        <v>1</v>
      </c>
      <c r="J117" s="2" t="b">
        <f t="shared" si="3"/>
        <v>1</v>
      </c>
    </row>
    <row r="118">
      <c r="A118" s="8">
        <v>46094.0</v>
      </c>
      <c r="B118" s="9">
        <v>76.503</v>
      </c>
      <c r="C118" s="9">
        <v>100.1</v>
      </c>
      <c r="D118" s="9">
        <v>110.756</v>
      </c>
      <c r="E118" s="9">
        <v>122.76</v>
      </c>
      <c r="F118" s="9">
        <v>139.274</v>
      </c>
      <c r="G118" s="10">
        <f>IFERROR(__xludf.DUMMYFUNCTION("IFERROR(INDEX(GOOGLEFINANCE(""PLTR"", ""close"", A118), 2, 2), """")"),150.95)</f>
        <v>150.95</v>
      </c>
      <c r="H118" s="10" t="b">
        <f t="shared" si="1"/>
        <v>1</v>
      </c>
      <c r="I118" s="10" t="b">
        <f t="shared" si="2"/>
        <v>1</v>
      </c>
      <c r="J118" s="2" t="b">
        <f t="shared" si="3"/>
        <v>1</v>
      </c>
    </row>
    <row r="119">
      <c r="A119" s="8">
        <v>46097.0</v>
      </c>
      <c r="B119" s="9">
        <v>77.904</v>
      </c>
      <c r="C119" s="9">
        <v>100.332</v>
      </c>
      <c r="D119" s="9">
        <v>111.69</v>
      </c>
      <c r="E119" s="9">
        <v>123.525</v>
      </c>
      <c r="F119" s="9">
        <v>140.868</v>
      </c>
      <c r="G119" s="10">
        <f>IFERROR(__xludf.DUMMYFUNCTION("IFERROR(INDEX(GOOGLEFINANCE(""PLTR"", ""close"", A119), 2, 2), """")"),152.72)</f>
        <v>152.72</v>
      </c>
      <c r="H119" s="10" t="b">
        <f t="shared" si="1"/>
        <v>1</v>
      </c>
      <c r="I119" s="10" t="b">
        <f t="shared" si="2"/>
        <v>1</v>
      </c>
      <c r="J119" s="2" t="b">
        <f t="shared" si="3"/>
        <v>1</v>
      </c>
    </row>
    <row r="120">
      <c r="A120" s="8">
        <v>46098.0</v>
      </c>
      <c r="B120" s="9">
        <v>77.224</v>
      </c>
      <c r="C120" s="9">
        <v>99.841</v>
      </c>
      <c r="D120" s="9">
        <v>111.347</v>
      </c>
      <c r="E120" s="9">
        <v>127.33</v>
      </c>
      <c r="F120" s="9">
        <v>140.844</v>
      </c>
      <c r="G120" s="10">
        <f>IFERROR(__xludf.DUMMYFUNCTION("IFERROR(INDEX(GOOGLEFINANCE(""PLTR"", ""close"", A120), 2, 2), """")"),155.08)</f>
        <v>155.08</v>
      </c>
      <c r="H120" s="10" t="b">
        <f t="shared" si="1"/>
        <v>1</v>
      </c>
      <c r="I120" s="10" t="b">
        <f t="shared" si="2"/>
        <v>1</v>
      </c>
      <c r="J120" s="2" t="b">
        <f t="shared" si="3"/>
        <v>1</v>
      </c>
    </row>
    <row r="121">
      <c r="A121" s="8">
        <v>46099.0</v>
      </c>
      <c r="B121" s="9">
        <v>72.828</v>
      </c>
      <c r="C121" s="9">
        <v>92.814</v>
      </c>
      <c r="D121" s="9">
        <v>104.679</v>
      </c>
      <c r="E121" s="9">
        <v>117.778</v>
      </c>
      <c r="F121" s="9">
        <v>138.09</v>
      </c>
      <c r="G121" s="10">
        <f>IFERROR(__xludf.DUMMYFUNCTION("IFERROR(INDEX(GOOGLEFINANCE(""PLTR"", ""close"", A121), 2, 2), """")"),152.77)</f>
        <v>152.77</v>
      </c>
      <c r="H121" s="10" t="b">
        <f t="shared" si="1"/>
        <v>1</v>
      </c>
      <c r="I121" s="10" t="b">
        <f t="shared" si="2"/>
        <v>1</v>
      </c>
      <c r="J121" s="2" t="b">
        <f t="shared" si="3"/>
        <v>1</v>
      </c>
    </row>
    <row r="122">
      <c r="A122" s="8">
        <v>46100.0</v>
      </c>
      <c r="B122" s="9">
        <v>76.845</v>
      </c>
      <c r="C122" s="9">
        <v>94.584</v>
      </c>
      <c r="D122" s="9">
        <v>106.118</v>
      </c>
      <c r="E122" s="9">
        <v>120.023</v>
      </c>
      <c r="F122" s="9">
        <v>136.839</v>
      </c>
      <c r="G122" s="10">
        <f>IFERROR(__xludf.DUMMYFUNCTION("IFERROR(INDEX(GOOGLEFINANCE(""PLTR"", ""close"", A122), 2, 2), """")"),155.68)</f>
        <v>155.68</v>
      </c>
      <c r="H122" s="10" t="b">
        <f t="shared" si="1"/>
        <v>1</v>
      </c>
      <c r="I122" s="10" t="b">
        <f t="shared" si="2"/>
        <v>1</v>
      </c>
      <c r="J122" s="2" t="b">
        <f t="shared" si="3"/>
        <v>1</v>
      </c>
    </row>
    <row r="123">
      <c r="A123" s="8">
        <v>46101.0</v>
      </c>
      <c r="B123" s="9">
        <v>76.064</v>
      </c>
      <c r="C123" s="9">
        <v>99.974</v>
      </c>
      <c r="D123" s="9">
        <v>111.449</v>
      </c>
      <c r="E123" s="9">
        <v>122.401</v>
      </c>
      <c r="F123" s="9">
        <v>139.718</v>
      </c>
      <c r="G123" s="10">
        <f>IFERROR(__xludf.DUMMYFUNCTION("IFERROR(INDEX(GOOGLEFINANCE(""PLTR"", ""close"", A123), 2, 2), """")"),150.68)</f>
        <v>150.68</v>
      </c>
      <c r="H123" s="10" t="b">
        <f t="shared" si="1"/>
        <v>1</v>
      </c>
      <c r="I123" s="10" t="b">
        <f t="shared" si="2"/>
        <v>1</v>
      </c>
      <c r="J123" s="2" t="b">
        <f t="shared" si="3"/>
        <v>1</v>
      </c>
    </row>
    <row r="124">
      <c r="A124" s="8">
        <v>46104.0</v>
      </c>
      <c r="B124" s="9">
        <v>78.749</v>
      </c>
      <c r="C124" s="9">
        <v>99.313</v>
      </c>
      <c r="D124" s="9">
        <v>110.305</v>
      </c>
      <c r="E124" s="9">
        <v>121.758</v>
      </c>
      <c r="F124" s="9">
        <v>139.405</v>
      </c>
      <c r="G124" s="10">
        <f>IFERROR(__xludf.DUMMYFUNCTION("IFERROR(INDEX(GOOGLEFINANCE(""PLTR"", ""close"", A124), 2, 2), """")"),160.84)</f>
        <v>160.84</v>
      </c>
      <c r="H124" s="10" t="b">
        <f t="shared" si="1"/>
        <v>1</v>
      </c>
      <c r="I124" s="10" t="b">
        <f t="shared" si="2"/>
        <v>1</v>
      </c>
      <c r="J124" s="2" t="b">
        <f t="shared" si="3"/>
        <v>1</v>
      </c>
    </row>
    <row r="125">
      <c r="A125" s="8">
        <v>46105.0</v>
      </c>
      <c r="B125" s="9">
        <v>78.882</v>
      </c>
      <c r="C125" s="9">
        <v>98.843</v>
      </c>
      <c r="D125" s="9">
        <v>110.407</v>
      </c>
      <c r="E125" s="9">
        <v>121.929</v>
      </c>
      <c r="F125" s="9">
        <v>141.334</v>
      </c>
      <c r="G125" s="10">
        <f>IFERROR(__xludf.DUMMYFUNCTION("IFERROR(INDEX(GOOGLEFINANCE(""PLTR"", ""close"", A125), 2, 2), """")"),154.78)</f>
        <v>154.78</v>
      </c>
      <c r="H125" s="10" t="b">
        <f t="shared" si="1"/>
        <v>1</v>
      </c>
      <c r="I125" s="10" t="b">
        <f t="shared" si="2"/>
        <v>1</v>
      </c>
      <c r="J125" s="2" t="b">
        <f t="shared" si="3"/>
        <v>1</v>
      </c>
    </row>
    <row r="126">
      <c r="A126" s="8">
        <v>46106.0</v>
      </c>
      <c r="B126" s="9">
        <v>76.893</v>
      </c>
      <c r="C126" s="9">
        <v>94.732</v>
      </c>
      <c r="D126" s="9">
        <v>106.026</v>
      </c>
      <c r="E126" s="9">
        <v>118.185</v>
      </c>
      <c r="F126" s="9">
        <v>136.94</v>
      </c>
      <c r="G126" s="10">
        <f>IFERROR(__xludf.DUMMYFUNCTION("IFERROR(INDEX(GOOGLEFINANCE(""PLTR"", ""close"", A126), 2, 2), """")"),154.96)</f>
        <v>154.96</v>
      </c>
      <c r="H126" s="10" t="b">
        <f t="shared" si="1"/>
        <v>1</v>
      </c>
      <c r="I126" s="10" t="b">
        <f t="shared" si="2"/>
        <v>1</v>
      </c>
      <c r="J126" s="2" t="b">
        <f t="shared" si="3"/>
        <v>1</v>
      </c>
    </row>
    <row r="127">
      <c r="A127" s="8">
        <v>46107.0</v>
      </c>
      <c r="B127" s="9">
        <v>78.358</v>
      </c>
      <c r="C127" s="9">
        <v>97.016</v>
      </c>
      <c r="D127" s="9">
        <v>108.049</v>
      </c>
      <c r="E127" s="9">
        <v>120.314</v>
      </c>
      <c r="F127" s="9">
        <v>138.952</v>
      </c>
      <c r="G127" s="10">
        <f>IFERROR(__xludf.DUMMYFUNCTION("IFERROR(INDEX(GOOGLEFINANCE(""PLTR"", ""close"", A127), 2, 2), """")"),147.56)</f>
        <v>147.56</v>
      </c>
      <c r="H127" s="10" t="b">
        <f t="shared" si="1"/>
        <v>1</v>
      </c>
      <c r="I127" s="10" t="b">
        <f t="shared" si="2"/>
        <v>1</v>
      </c>
      <c r="J127" s="2" t="b">
        <f t="shared" si="3"/>
        <v>1</v>
      </c>
    </row>
    <row r="128">
      <c r="A128" s="8">
        <v>46108.0</v>
      </c>
      <c r="B128" s="9">
        <v>76.036</v>
      </c>
      <c r="C128" s="9">
        <v>98.447</v>
      </c>
      <c r="D128" s="9">
        <v>109.368</v>
      </c>
      <c r="E128" s="9">
        <v>122.973</v>
      </c>
      <c r="F128" s="9">
        <v>139.868</v>
      </c>
      <c r="G128" s="10">
        <f>IFERROR(__xludf.DUMMYFUNCTION("IFERROR(INDEX(GOOGLEFINANCE(""PLTR"", ""close"", A128), 2, 2), """")"),143.06)</f>
        <v>143.06</v>
      </c>
      <c r="H128" s="10" t="b">
        <f t="shared" si="1"/>
        <v>1</v>
      </c>
      <c r="I128" s="10" t="b">
        <f t="shared" si="2"/>
        <v>1</v>
      </c>
      <c r="J128" s="2" t="b">
        <f t="shared" si="3"/>
        <v>1</v>
      </c>
    </row>
    <row r="129">
      <c r="A129" s="8">
        <v>46111.0</v>
      </c>
      <c r="B129" s="9">
        <v>80.403</v>
      </c>
      <c r="C129" s="9">
        <v>103.499</v>
      </c>
      <c r="D129" s="9">
        <v>115.364</v>
      </c>
      <c r="E129" s="9">
        <v>133.628</v>
      </c>
      <c r="F129" s="9">
        <v>148.247</v>
      </c>
      <c r="G129" s="10">
        <f>IFERROR(__xludf.DUMMYFUNCTION("IFERROR(INDEX(GOOGLEFINANCE(""PLTR"", ""close"", A129), 2, 2), """")"),137.55)</f>
        <v>137.55</v>
      </c>
      <c r="H129" s="10" t="b">
        <f t="shared" si="1"/>
        <v>1</v>
      </c>
      <c r="I129" s="10" t="b">
        <f t="shared" si="2"/>
        <v>1</v>
      </c>
      <c r="J129" s="2" t="b">
        <f t="shared" si="3"/>
        <v>0</v>
      </c>
    </row>
    <row r="130">
      <c r="A130" s="8">
        <v>46112.0</v>
      </c>
      <c r="B130" s="9">
        <v>77.957</v>
      </c>
      <c r="C130" s="9">
        <v>100.621</v>
      </c>
      <c r="D130" s="9">
        <v>112.098</v>
      </c>
      <c r="E130" s="9">
        <v>123.169</v>
      </c>
      <c r="F130" s="9">
        <v>141.985</v>
      </c>
      <c r="G130" s="10">
        <f>IFERROR(__xludf.DUMMYFUNCTION("IFERROR(INDEX(GOOGLEFINANCE(""PLTR"", ""close"", A130), 2, 2), """")"),146.28)</f>
        <v>146.28</v>
      </c>
      <c r="H130" s="10" t="b">
        <f t="shared" si="1"/>
        <v>1</v>
      </c>
      <c r="I130" s="10" t="b">
        <f t="shared" si="2"/>
        <v>1</v>
      </c>
      <c r="J130" s="2" t="b">
        <f t="shared" si="3"/>
        <v>1</v>
      </c>
    </row>
    <row r="131">
      <c r="A131" s="8">
        <v>46113.0</v>
      </c>
      <c r="B131" s="9">
        <v>76.625</v>
      </c>
      <c r="C131" s="9">
        <v>95.145</v>
      </c>
      <c r="D131" s="9">
        <v>107.157</v>
      </c>
      <c r="E131" s="9">
        <v>119.319</v>
      </c>
      <c r="F131" s="9">
        <v>137.128</v>
      </c>
      <c r="G131" s="10">
        <f>IFERROR(__xludf.DUMMYFUNCTION("IFERROR(INDEX(GOOGLEFINANCE(""PLTR"", ""close"", A131), 2, 2), """")"),146.49)</f>
        <v>146.49</v>
      </c>
      <c r="H131" s="10" t="b">
        <f t="shared" si="1"/>
        <v>1</v>
      </c>
      <c r="I131" s="10" t="b">
        <f t="shared" si="2"/>
        <v>1</v>
      </c>
      <c r="J131" s="2" t="b">
        <f t="shared" si="3"/>
        <v>1</v>
      </c>
    </row>
    <row r="132">
      <c r="A132" s="8">
        <v>46114.0</v>
      </c>
      <c r="B132" s="9">
        <v>75.104</v>
      </c>
      <c r="C132" s="9">
        <v>99.849</v>
      </c>
      <c r="D132" s="9">
        <v>111.306</v>
      </c>
      <c r="E132" s="9">
        <v>123.67</v>
      </c>
      <c r="F132" s="9">
        <v>142.04</v>
      </c>
      <c r="G132" s="10">
        <f>IFERROR(__xludf.DUMMYFUNCTION("IFERROR(INDEX(GOOGLEFINANCE(""PLTR"", ""close"", A132), 2, 2), """")"),148.46)</f>
        <v>148.46</v>
      </c>
      <c r="H132" s="10" t="b">
        <f t="shared" si="1"/>
        <v>1</v>
      </c>
      <c r="I132" s="10" t="b">
        <f t="shared" si="2"/>
        <v>1</v>
      </c>
      <c r="J132" s="2" t="b">
        <f t="shared" si="3"/>
        <v>1</v>
      </c>
    </row>
    <row r="133">
      <c r="A133" s="8">
        <v>46118.0</v>
      </c>
      <c r="B133" s="9">
        <v>80.97</v>
      </c>
      <c r="C133" s="9">
        <v>105.467</v>
      </c>
      <c r="D133" s="9">
        <v>116.422</v>
      </c>
      <c r="E133" s="9">
        <v>128.298</v>
      </c>
      <c r="F133" s="9">
        <v>148.082</v>
      </c>
      <c r="G133" s="10">
        <f>IFERROR(__xludf.DUMMYFUNCTION("IFERROR(INDEX(GOOGLEFINANCE(""PLTR"", ""close"", A133), 2, 2), """")"),147.93)</f>
        <v>147.93</v>
      </c>
      <c r="H133" s="10" t="b">
        <f t="shared" si="1"/>
        <v>1</v>
      </c>
      <c r="I133" s="10" t="b">
        <f t="shared" si="2"/>
        <v>1</v>
      </c>
      <c r="J133" s="2" t="b">
        <f t="shared" si="3"/>
        <v>0</v>
      </c>
    </row>
    <row r="134">
      <c r="A134" s="8">
        <v>46119.0</v>
      </c>
      <c r="B134" s="9">
        <v>82.458</v>
      </c>
      <c r="C134" s="9">
        <v>103.137</v>
      </c>
      <c r="D134" s="9">
        <v>114.636</v>
      </c>
      <c r="E134" s="9">
        <v>128.476</v>
      </c>
      <c r="F134" s="9">
        <v>144.839</v>
      </c>
      <c r="G134" s="10">
        <f>IFERROR(__xludf.DUMMYFUNCTION("IFERROR(INDEX(GOOGLEFINANCE(""PLTR"", ""close"", A134), 2, 2), """")"),150.07)</f>
        <v>150.07</v>
      </c>
      <c r="H134" s="10" t="b">
        <f t="shared" si="1"/>
        <v>1</v>
      </c>
      <c r="I134" s="10" t="b">
        <f t="shared" si="2"/>
        <v>1</v>
      </c>
      <c r="J134" s="2" t="b">
        <f t="shared" si="3"/>
        <v>1</v>
      </c>
    </row>
    <row r="135">
      <c r="A135" s="8">
        <v>46120.0</v>
      </c>
      <c r="B135" s="9">
        <v>77.829</v>
      </c>
      <c r="C135" s="9">
        <v>97.535</v>
      </c>
      <c r="D135" s="9">
        <v>109.208</v>
      </c>
      <c r="E135" s="9">
        <v>128.199</v>
      </c>
      <c r="F135" s="9">
        <v>146.507</v>
      </c>
      <c r="G135" s="10">
        <f>IFERROR(__xludf.DUMMYFUNCTION("IFERROR(INDEX(GOOGLEFINANCE(""PLTR"", ""close"", A135), 2, 2), """")"),140.76)</f>
        <v>140.76</v>
      </c>
      <c r="H135" s="10" t="b">
        <f t="shared" si="1"/>
        <v>1</v>
      </c>
      <c r="I135" s="10" t="b">
        <f t="shared" si="2"/>
        <v>1</v>
      </c>
      <c r="J135" s="2" t="b">
        <f t="shared" si="3"/>
        <v>0</v>
      </c>
    </row>
    <row r="136">
      <c r="A136" s="8">
        <v>46121.0</v>
      </c>
      <c r="B136" s="9">
        <v>80.675</v>
      </c>
      <c r="C136" s="9">
        <v>103.96</v>
      </c>
      <c r="D136" s="9">
        <v>115.194</v>
      </c>
      <c r="E136" s="9">
        <v>126.881</v>
      </c>
      <c r="F136" s="9">
        <v>145.663</v>
      </c>
      <c r="G136" s="10">
        <f>IFERROR(__xludf.DUMMYFUNCTION("IFERROR(INDEX(GOOGLEFINANCE(""PLTR"", ""close"", A136), 2, 2), """")"),130.49)</f>
        <v>130.49</v>
      </c>
      <c r="H136" s="10" t="b">
        <f t="shared" si="1"/>
        <v>1</v>
      </c>
      <c r="I136" s="10" t="b">
        <f t="shared" si="2"/>
        <v>1</v>
      </c>
      <c r="J136" s="2" t="b">
        <f t="shared" si="3"/>
        <v>0</v>
      </c>
    </row>
    <row r="137">
      <c r="A137" s="8">
        <v>46122.0</v>
      </c>
      <c r="B137" s="9">
        <v>80.135</v>
      </c>
      <c r="C137" s="9">
        <v>103.599</v>
      </c>
      <c r="D137" s="9">
        <v>114.504</v>
      </c>
      <c r="E137" s="9">
        <v>127.206</v>
      </c>
      <c r="F137" s="9">
        <v>145.466</v>
      </c>
      <c r="G137" s="10">
        <f>IFERROR(__xludf.DUMMYFUNCTION("IFERROR(INDEX(GOOGLEFINANCE(""PLTR"", ""close"", A137), 2, 2), """")"),128.06)</f>
        <v>128.06</v>
      </c>
      <c r="H137" s="10" t="b">
        <f t="shared" si="1"/>
        <v>1</v>
      </c>
      <c r="I137" s="10" t="b">
        <f t="shared" si="2"/>
        <v>1</v>
      </c>
      <c r="J137" s="2" t="b">
        <f t="shared" si="3"/>
        <v>0</v>
      </c>
    </row>
    <row r="138">
      <c r="A138" s="8">
        <v>46125.0</v>
      </c>
      <c r="B138" s="9">
        <v>77.365</v>
      </c>
      <c r="C138" s="9">
        <v>105.235</v>
      </c>
      <c r="D138" s="9">
        <v>117.079</v>
      </c>
      <c r="E138" s="9">
        <v>135.956</v>
      </c>
      <c r="F138" s="9">
        <v>148.411</v>
      </c>
      <c r="G138" s="10">
        <f>IFERROR(__xludf.DUMMYFUNCTION("IFERROR(INDEX(GOOGLEFINANCE(""PLTR"", ""close"", A138), 2, 2), """")"),132.37)</f>
        <v>132.37</v>
      </c>
      <c r="H138" s="10" t="b">
        <f t="shared" si="1"/>
        <v>1</v>
      </c>
      <c r="I138" s="10" t="b">
        <f t="shared" si="2"/>
        <v>1</v>
      </c>
      <c r="J138" s="2" t="b">
        <f t="shared" si="3"/>
        <v>0</v>
      </c>
    </row>
    <row r="139">
      <c r="A139" s="8">
        <v>46126.0</v>
      </c>
      <c r="B139" s="9">
        <v>81.543</v>
      </c>
      <c r="C139" s="9">
        <v>105.103</v>
      </c>
      <c r="D139" s="9">
        <v>116.987</v>
      </c>
      <c r="E139" s="9">
        <v>128.938</v>
      </c>
      <c r="F139" s="9">
        <v>143.479</v>
      </c>
      <c r="G139" s="10">
        <f>IFERROR(__xludf.DUMMYFUNCTION("IFERROR(INDEX(GOOGLEFINANCE(""PLTR"", ""close"", A139), 2, 2), """")"),135.7)</f>
        <v>135.7</v>
      </c>
      <c r="H139" s="10" t="b">
        <f t="shared" si="1"/>
        <v>1</v>
      </c>
      <c r="I139" s="10" t="b">
        <f t="shared" si="2"/>
        <v>1</v>
      </c>
      <c r="J139" s="2" t="b">
        <f t="shared" si="3"/>
        <v>0</v>
      </c>
    </row>
    <row r="140">
      <c r="A140" s="8">
        <v>46127.0</v>
      </c>
      <c r="B140" s="9">
        <v>80.298</v>
      </c>
      <c r="C140" s="9">
        <v>102.708</v>
      </c>
      <c r="D140" s="9">
        <v>113.674</v>
      </c>
      <c r="E140" s="9">
        <v>126.307</v>
      </c>
      <c r="F140" s="9">
        <v>146.141</v>
      </c>
      <c r="G140" s="10">
        <f>IFERROR(__xludf.DUMMYFUNCTION("IFERROR(INDEX(GOOGLEFINANCE(""PLTR"", ""close"", A140), 2, 2), """")"),142.15)</f>
        <v>142.15</v>
      </c>
      <c r="H140" s="10" t="b">
        <f t="shared" si="1"/>
        <v>1</v>
      </c>
      <c r="I140" s="10" t="b">
        <f t="shared" si="2"/>
        <v>1</v>
      </c>
      <c r="J140" s="2" t="b">
        <f t="shared" si="3"/>
        <v>0</v>
      </c>
    </row>
    <row r="141">
      <c r="A141" s="8">
        <v>46128.0</v>
      </c>
      <c r="B141" s="9">
        <v>84.443</v>
      </c>
      <c r="C141" s="9">
        <v>107.392</v>
      </c>
      <c r="D141" s="9">
        <v>118.338</v>
      </c>
      <c r="E141" s="9">
        <v>132.575</v>
      </c>
      <c r="F141" s="9">
        <v>148.654</v>
      </c>
      <c r="G141" s="10">
        <f>IFERROR(__xludf.DUMMYFUNCTION("IFERROR(INDEX(GOOGLEFINANCE(""PLTR"", ""close"", A141), 2, 2), """")"),142.76)</f>
        <v>142.76</v>
      </c>
      <c r="H141" s="10" t="b">
        <f t="shared" si="1"/>
        <v>1</v>
      </c>
      <c r="I141" s="10" t="b">
        <f t="shared" si="2"/>
        <v>1</v>
      </c>
      <c r="J141" s="2" t="b">
        <f t="shared" si="3"/>
        <v>0</v>
      </c>
    </row>
    <row r="142">
      <c r="A142" s="8">
        <v>46129.0</v>
      </c>
      <c r="B142" s="9">
        <v>83.689</v>
      </c>
      <c r="C142" s="9">
        <v>105.367</v>
      </c>
      <c r="D142" s="9">
        <v>116.844</v>
      </c>
      <c r="E142" s="9">
        <v>128.486</v>
      </c>
      <c r="F142" s="9">
        <v>145.545</v>
      </c>
      <c r="G142" s="10">
        <f>IFERROR(__xludf.DUMMYFUNCTION("IFERROR(INDEX(GOOGLEFINANCE(""PLTR"", ""close"", A142), 2, 2), """")"),146.39)</f>
        <v>146.39</v>
      </c>
      <c r="H142" s="10" t="b">
        <f t="shared" si="1"/>
        <v>1</v>
      </c>
      <c r="I142" s="10" t="b">
        <f t="shared" si="2"/>
        <v>1</v>
      </c>
      <c r="J142" s="2" t="b">
        <f t="shared" si="3"/>
        <v>1</v>
      </c>
    </row>
    <row r="143">
      <c r="A143" s="8">
        <v>46132.0</v>
      </c>
      <c r="B143" s="9">
        <v>82.697</v>
      </c>
      <c r="C143" s="9">
        <v>109.352</v>
      </c>
      <c r="D143" s="9">
        <v>120.697</v>
      </c>
      <c r="E143" s="9">
        <v>134.238</v>
      </c>
      <c r="F143" s="9">
        <v>150.46</v>
      </c>
      <c r="G143" s="10">
        <f>IFERROR(__xludf.DUMMYFUNCTION("IFERROR(INDEX(GOOGLEFINANCE(""PLTR"", ""close"", A143), 2, 2), """")"),145.89)</f>
        <v>145.89</v>
      </c>
      <c r="H143" s="10" t="b">
        <f t="shared" si="1"/>
        <v>1</v>
      </c>
      <c r="I143" s="10" t="b">
        <f t="shared" si="2"/>
        <v>1</v>
      </c>
      <c r="J143" s="2" t="b">
        <f t="shared" si="3"/>
        <v>0</v>
      </c>
    </row>
    <row r="144">
      <c r="A144" s="8">
        <v>46133.0</v>
      </c>
      <c r="B144" s="9">
        <v>85.796</v>
      </c>
      <c r="C144" s="9">
        <v>110.273</v>
      </c>
      <c r="D144" s="9">
        <v>122.421</v>
      </c>
      <c r="E144" s="9">
        <v>140.238</v>
      </c>
      <c r="F144" s="9">
        <v>157.841</v>
      </c>
      <c r="G144" s="10">
        <f>IFERROR(__xludf.DUMMYFUNCTION("IFERROR(INDEX(GOOGLEFINANCE(""PLTR"", ""close"", A144), 2, 2), """")"),145.97)</f>
        <v>145.97</v>
      </c>
      <c r="H144" s="10" t="b">
        <f t="shared" si="1"/>
        <v>1</v>
      </c>
      <c r="I144" s="10" t="b">
        <f t="shared" si="2"/>
        <v>1</v>
      </c>
      <c r="J144" s="2" t="b">
        <f t="shared" si="3"/>
        <v>0</v>
      </c>
    </row>
    <row r="145">
      <c r="A145" s="8">
        <v>46134.0</v>
      </c>
      <c r="B145" s="9">
        <v>79.943</v>
      </c>
      <c r="C145" s="9">
        <v>100.038</v>
      </c>
      <c r="D145" s="9">
        <v>111.831</v>
      </c>
      <c r="E145" s="9">
        <v>125.474</v>
      </c>
      <c r="F145" s="9">
        <v>144.525</v>
      </c>
      <c r="G145" s="10">
        <f>IFERROR(__xludf.DUMMYFUNCTION("IFERROR(INDEX(GOOGLEFINANCE(""PLTR"", ""close"", A145), 2, 2), """")"),152.62)</f>
        <v>152.62</v>
      </c>
      <c r="H145" s="10" t="b">
        <f t="shared" si="1"/>
        <v>1</v>
      </c>
      <c r="I145" s="10" t="b">
        <f t="shared" si="2"/>
        <v>1</v>
      </c>
      <c r="J145" s="2" t="b">
        <f t="shared" si="3"/>
        <v>1</v>
      </c>
    </row>
    <row r="146">
      <c r="A146" s="8">
        <v>46135.0</v>
      </c>
      <c r="B146" s="9">
        <v>82.104</v>
      </c>
      <c r="C146" s="9">
        <v>109.443</v>
      </c>
      <c r="D146" s="9">
        <v>120.694</v>
      </c>
      <c r="E146" s="9">
        <v>132.79</v>
      </c>
      <c r="F146" s="9">
        <v>150.872</v>
      </c>
      <c r="G146" s="10">
        <f>IFERROR(__xludf.DUMMYFUNCTION("IFERROR(INDEX(GOOGLEFINANCE(""PLTR"", ""close"", A146), 2, 2), """")"),141.57)</f>
        <v>141.57</v>
      </c>
      <c r="H146" s="10" t="b">
        <f t="shared" si="1"/>
        <v>1</v>
      </c>
      <c r="I146" s="10" t="b">
        <f t="shared" si="2"/>
        <v>1</v>
      </c>
      <c r="J146" s="2" t="b">
        <f t="shared" si="3"/>
        <v>0</v>
      </c>
    </row>
    <row r="147">
      <c r="A147" s="8">
        <v>46136.0</v>
      </c>
      <c r="B147" s="9">
        <v>85.301</v>
      </c>
      <c r="C147" s="9">
        <v>111.996</v>
      </c>
      <c r="D147" s="9">
        <v>123.247</v>
      </c>
      <c r="E147" s="9">
        <v>135.046</v>
      </c>
      <c r="F147" s="9">
        <v>152.283</v>
      </c>
      <c r="G147" s="10">
        <f>IFERROR(__xludf.DUMMYFUNCTION("IFERROR(INDEX(GOOGLEFINANCE(""PLTR"", ""close"", A147), 2, 2), """")"),143.09)</f>
        <v>143.09</v>
      </c>
      <c r="H147" s="10" t="b">
        <f t="shared" si="1"/>
        <v>1</v>
      </c>
      <c r="I147" s="10" t="b">
        <f t="shared" si="2"/>
        <v>1</v>
      </c>
      <c r="J147" s="2" t="b">
        <f t="shared" si="3"/>
        <v>0</v>
      </c>
    </row>
    <row r="148">
      <c r="A148" s="8">
        <v>46139.0</v>
      </c>
      <c r="B148" s="9">
        <v>82.916</v>
      </c>
      <c r="C148" s="9">
        <v>112.479</v>
      </c>
      <c r="D148" s="9">
        <v>124.004</v>
      </c>
      <c r="E148" s="9">
        <v>137.06</v>
      </c>
      <c r="F148" s="9">
        <v>155.349</v>
      </c>
      <c r="G148" s="10">
        <f>IFERROR(__xludf.DUMMYFUNCTION("IFERROR(INDEX(GOOGLEFINANCE(""PLTR"", ""close"", A148), 2, 2), """")"),143.1)</f>
        <v>143.1</v>
      </c>
      <c r="H148" s="10" t="b">
        <f t="shared" si="1"/>
        <v>1</v>
      </c>
      <c r="I148" s="10" t="b">
        <f t="shared" si="2"/>
        <v>1</v>
      </c>
      <c r="J148" s="2" t="b">
        <f t="shared" si="3"/>
        <v>0</v>
      </c>
    </row>
    <row r="149">
      <c r="A149" s="8">
        <v>46140.0</v>
      </c>
      <c r="B149" s="9">
        <v>85.049</v>
      </c>
      <c r="C149" s="9">
        <v>109.134</v>
      </c>
      <c r="D149" s="9">
        <v>121.896</v>
      </c>
      <c r="E149" s="9">
        <v>136.311</v>
      </c>
      <c r="F149" s="9">
        <v>154.677</v>
      </c>
      <c r="G149" s="10">
        <f>IFERROR(__xludf.DUMMYFUNCTION("IFERROR(INDEX(GOOGLEFINANCE(""PLTR"", ""close"", A149), 2, 2), """")"),141.18)</f>
        <v>141.18</v>
      </c>
      <c r="H149" s="10" t="b">
        <f t="shared" si="1"/>
        <v>1</v>
      </c>
      <c r="I149" s="10" t="b">
        <f t="shared" si="2"/>
        <v>1</v>
      </c>
      <c r="J149" s="2" t="b">
        <f t="shared" si="3"/>
        <v>0</v>
      </c>
    </row>
    <row r="150">
      <c r="A150" s="8">
        <v>46141.0</v>
      </c>
      <c r="B150" s="9">
        <v>85.366</v>
      </c>
      <c r="C150" s="9">
        <v>105.867</v>
      </c>
      <c r="D150" s="9">
        <v>118.85</v>
      </c>
      <c r="E150" s="9">
        <v>131.679</v>
      </c>
      <c r="F150" s="9">
        <v>150.681</v>
      </c>
      <c r="G150" s="10">
        <f>IFERROR(__xludf.DUMMYFUNCTION("IFERROR(INDEX(GOOGLEFINANCE(""PLTR"", ""close"", A150), 2, 2), """")"),137.97)</f>
        <v>137.97</v>
      </c>
      <c r="H150" s="10" t="b">
        <f t="shared" si="1"/>
        <v>1</v>
      </c>
      <c r="I150" s="10" t="b">
        <f t="shared" si="2"/>
        <v>1</v>
      </c>
      <c r="J150" s="2" t="b">
        <f t="shared" si="3"/>
        <v>0</v>
      </c>
    </row>
    <row r="151">
      <c r="A151" s="8">
        <v>46142.0</v>
      </c>
      <c r="B151" s="9">
        <v>83.402</v>
      </c>
      <c r="C151" s="9">
        <v>111.679</v>
      </c>
      <c r="D151" s="9">
        <v>123.386</v>
      </c>
      <c r="E151" s="9">
        <v>136.122</v>
      </c>
      <c r="F151" s="9">
        <v>160.341</v>
      </c>
      <c r="G151" s="10">
        <f>IFERROR(__xludf.DUMMYFUNCTION("IFERROR(INDEX(GOOGLEFINANCE(""PLTR"", ""close"", A151), 2, 2), """")"),139.11)</f>
        <v>139.11</v>
      </c>
      <c r="H151" s="10" t="b">
        <f t="shared" si="1"/>
        <v>1</v>
      </c>
      <c r="I151" s="10" t="b">
        <f t="shared" si="2"/>
        <v>1</v>
      </c>
      <c r="J151" s="2" t="b">
        <f t="shared" si="3"/>
        <v>0</v>
      </c>
    </row>
    <row r="152">
      <c r="A152" s="8">
        <v>46143.0</v>
      </c>
      <c r="B152" s="9">
        <v>87.142</v>
      </c>
      <c r="C152" s="9">
        <v>113.794</v>
      </c>
      <c r="D152" s="9">
        <v>125.239</v>
      </c>
      <c r="E152" s="9">
        <v>138.008</v>
      </c>
      <c r="F152" s="9">
        <v>156.536</v>
      </c>
      <c r="G152" s="10">
        <f>IFERROR(__xludf.DUMMYFUNCTION("IFERROR(INDEX(GOOGLEFINANCE(""PLTR"", ""close"", A152), 2, 2), """")"),144.07)</f>
        <v>144.07</v>
      </c>
      <c r="H152" s="10" t="b">
        <f t="shared" si="1"/>
        <v>1</v>
      </c>
      <c r="I152" s="10" t="b">
        <f t="shared" si="2"/>
        <v>1</v>
      </c>
      <c r="J152" s="2" t="b">
        <f t="shared" si="3"/>
        <v>0</v>
      </c>
    </row>
    <row r="153">
      <c r="A153" s="8">
        <v>46146.0</v>
      </c>
      <c r="B153" s="9">
        <v>90.884</v>
      </c>
      <c r="C153" s="9">
        <v>119.153</v>
      </c>
      <c r="D153" s="9">
        <v>131.353</v>
      </c>
      <c r="E153" s="9">
        <v>145.017</v>
      </c>
      <c r="F153" s="9">
        <v>163.83</v>
      </c>
      <c r="G153" s="10">
        <f>IFERROR(__xludf.DUMMYFUNCTION("IFERROR(INDEX(GOOGLEFINANCE(""PLTR"", ""close"", A153), 2, 2), """")"),146.03)</f>
        <v>146.03</v>
      </c>
      <c r="H153" s="10" t="b">
        <f t="shared" si="1"/>
        <v>1</v>
      </c>
      <c r="I153" s="10" t="b">
        <f t="shared" si="2"/>
        <v>1</v>
      </c>
      <c r="J153" s="2" t="b">
        <f t="shared" si="3"/>
        <v>0</v>
      </c>
    </row>
    <row r="154">
      <c r="A154" s="8">
        <v>46147.0</v>
      </c>
      <c r="B154" s="9">
        <v>86.173</v>
      </c>
      <c r="C154" s="9">
        <v>113.177</v>
      </c>
      <c r="D154" s="9">
        <v>125.542</v>
      </c>
      <c r="E154" s="9">
        <v>138.984</v>
      </c>
      <c r="F154" s="9">
        <v>156.9</v>
      </c>
      <c r="G154" s="10">
        <f>IFERROR(__xludf.DUMMYFUNCTION("IFERROR(INDEX(GOOGLEFINANCE(""PLTR"", ""close"", A154), 2, 2), """")"),135.91)</f>
        <v>135.91</v>
      </c>
      <c r="H154" s="10" t="b">
        <f t="shared" si="1"/>
        <v>1</v>
      </c>
      <c r="I154" s="10" t="b">
        <f t="shared" si="2"/>
        <v>1</v>
      </c>
      <c r="J154" s="2" t="b">
        <f t="shared" si="3"/>
        <v>0</v>
      </c>
    </row>
    <row r="155">
      <c r="A155" s="8">
        <v>46148.0</v>
      </c>
      <c r="B155" s="9">
        <v>85.705</v>
      </c>
      <c r="C155" s="9">
        <v>107.316</v>
      </c>
      <c r="D155" s="9">
        <v>118.839</v>
      </c>
      <c r="E155" s="9">
        <v>131.636</v>
      </c>
      <c r="F155" s="9">
        <v>150.345</v>
      </c>
      <c r="G155" s="10">
        <f>IFERROR(__xludf.DUMMYFUNCTION("IFERROR(INDEX(GOOGLEFINANCE(""PLTR"", ""close"", A155), 2, 2), """")"),133.79)</f>
        <v>133.79</v>
      </c>
      <c r="H155" s="10" t="b">
        <f t="shared" si="1"/>
        <v>1</v>
      </c>
      <c r="I155" s="10" t="b">
        <f t="shared" si="2"/>
        <v>1</v>
      </c>
      <c r="J155" s="2" t="b">
        <f t="shared" si="3"/>
        <v>0</v>
      </c>
    </row>
    <row r="156">
      <c r="A156" s="8">
        <v>46149.0</v>
      </c>
      <c r="B156" s="9">
        <v>86.635</v>
      </c>
      <c r="C156" s="9">
        <v>115.567</v>
      </c>
      <c r="D156" s="9">
        <v>128.737</v>
      </c>
      <c r="E156" s="9">
        <v>140.503</v>
      </c>
      <c r="F156" s="9">
        <v>158.677</v>
      </c>
      <c r="G156" s="10">
        <f>IFERROR(__xludf.DUMMYFUNCTION("IFERROR(INDEX(GOOGLEFINANCE(""PLTR"", ""close"", A156), 2, 2), """")"),137.05)</f>
        <v>137.05</v>
      </c>
      <c r="H156" s="10" t="b">
        <f t="shared" si="1"/>
        <v>1</v>
      </c>
      <c r="I156" s="10" t="b">
        <f t="shared" si="2"/>
        <v>1</v>
      </c>
      <c r="J156" s="2" t="b">
        <f t="shared" si="3"/>
        <v>0</v>
      </c>
    </row>
    <row r="157">
      <c r="A157" s="8">
        <v>46150.0</v>
      </c>
      <c r="B157" s="9">
        <v>88.428</v>
      </c>
      <c r="C157" s="9">
        <v>116.581</v>
      </c>
      <c r="D157" s="9">
        <v>128.132</v>
      </c>
      <c r="E157" s="9">
        <v>140.43</v>
      </c>
      <c r="F157" s="9">
        <v>158.84</v>
      </c>
      <c r="G157" s="10">
        <f>IFERROR(__xludf.DUMMYFUNCTION("IFERROR(INDEX(GOOGLEFINANCE(""PLTR"", ""close"", A157), 2, 2), """")"),137.8)</f>
        <v>137.8</v>
      </c>
      <c r="H157" s="10" t="b">
        <f t="shared" si="1"/>
        <v>1</v>
      </c>
      <c r="I157" s="10" t="b">
        <f t="shared" si="2"/>
        <v>1</v>
      </c>
      <c r="J157" s="2" t="b">
        <f t="shared" si="3"/>
        <v>0</v>
      </c>
    </row>
    <row r="158">
      <c r="A158" s="8">
        <v>46153.0</v>
      </c>
      <c r="B158" s="9">
        <v>88.557</v>
      </c>
      <c r="C158" s="9">
        <v>116.275</v>
      </c>
      <c r="D158" s="9">
        <v>128.458</v>
      </c>
      <c r="E158" s="9">
        <v>141.565</v>
      </c>
      <c r="F158" s="9">
        <v>158.548</v>
      </c>
      <c r="G158" s="10">
        <f>IFERROR(__xludf.DUMMYFUNCTION("IFERROR(INDEX(GOOGLEFINANCE(""PLTR"", ""close"", A158), 2, 2), """")"),136.89)</f>
        <v>136.89</v>
      </c>
      <c r="H158" s="10" t="b">
        <f t="shared" si="1"/>
        <v>1</v>
      </c>
      <c r="I158" s="10" t="b">
        <f t="shared" si="2"/>
        <v>1</v>
      </c>
      <c r="J158" s="2" t="b">
        <f t="shared" si="3"/>
        <v>0</v>
      </c>
    </row>
    <row r="159">
      <c r="A159" s="8">
        <v>46154.0</v>
      </c>
      <c r="B159" s="9">
        <v>87.454</v>
      </c>
      <c r="C159" s="9">
        <v>116.143</v>
      </c>
      <c r="D159" s="9">
        <v>128.773</v>
      </c>
      <c r="E159" s="9">
        <v>141.616</v>
      </c>
      <c r="F159" s="9">
        <v>164.496</v>
      </c>
      <c r="G159" s="10">
        <f>IFERROR(__xludf.DUMMYFUNCTION("IFERROR(INDEX(GOOGLEFINANCE(""PLTR"", ""close"", A159), 2, 2), """")"),136.0)</f>
        <v>136</v>
      </c>
      <c r="H159" s="10" t="b">
        <f t="shared" si="1"/>
        <v>1</v>
      </c>
      <c r="I159" s="10" t="b">
        <f t="shared" si="2"/>
        <v>1</v>
      </c>
      <c r="J159" s="2" t="b">
        <f t="shared" si="3"/>
        <v>0</v>
      </c>
    </row>
    <row r="160">
      <c r="A160" s="8">
        <v>46155.0</v>
      </c>
      <c r="B160" s="9">
        <v>86.459</v>
      </c>
      <c r="C160" s="9">
        <v>108.019</v>
      </c>
      <c r="D160" s="9">
        <v>119.883</v>
      </c>
      <c r="E160" s="9">
        <v>133.633</v>
      </c>
      <c r="F160" s="9">
        <v>150.252</v>
      </c>
      <c r="G160" s="10">
        <f>IFERROR(__xludf.DUMMYFUNCTION("IFERROR(INDEX(GOOGLEFINANCE(""PLTR"", ""close"", A160), 2, 2), """")"),130.05)</f>
        <v>130.05</v>
      </c>
      <c r="H160" s="10" t="b">
        <f t="shared" si="1"/>
        <v>1</v>
      </c>
      <c r="I160" s="10" t="b">
        <f t="shared" si="2"/>
        <v>1</v>
      </c>
      <c r="J160" s="2" t="b">
        <f t="shared" si="3"/>
        <v>0</v>
      </c>
    </row>
    <row r="161">
      <c r="A161" s="8">
        <v>46156.0</v>
      </c>
      <c r="B161" s="9">
        <v>90.552</v>
      </c>
      <c r="C161" s="9">
        <v>117.673</v>
      </c>
      <c r="D161" s="9">
        <v>130.088</v>
      </c>
      <c r="E161" s="9">
        <v>143.177</v>
      </c>
      <c r="F161" s="9">
        <v>161.946</v>
      </c>
      <c r="G161" s="10">
        <f>IFERROR(__xludf.DUMMYFUNCTION("IFERROR(INDEX(GOOGLEFINANCE(""PLTR"", ""close"", A161), 2, 2), """")"),133.73)</f>
        <v>133.73</v>
      </c>
      <c r="H161" s="10" t="b">
        <f t="shared" si="1"/>
        <v>1</v>
      </c>
      <c r="I161" s="10" t="b">
        <f t="shared" si="2"/>
        <v>1</v>
      </c>
      <c r="J161" s="2" t="b">
        <f t="shared" si="3"/>
        <v>0</v>
      </c>
    </row>
    <row r="162">
      <c r="A162" s="8">
        <v>46157.0</v>
      </c>
      <c r="B162" s="9">
        <v>89.534</v>
      </c>
      <c r="C162" s="9">
        <v>118.98</v>
      </c>
      <c r="D162" s="9">
        <v>132.006</v>
      </c>
      <c r="E162" s="9">
        <v>143.974</v>
      </c>
      <c r="F162" s="9">
        <v>156.221</v>
      </c>
      <c r="G162" s="10">
        <f>IFERROR(__xludf.DUMMYFUNCTION("IFERROR(INDEX(GOOGLEFINANCE(""PLTR"", ""close"", A162), 2, 2), """")"),133.99)</f>
        <v>133.99</v>
      </c>
      <c r="H162" s="10" t="b">
        <f t="shared" si="1"/>
        <v>1</v>
      </c>
      <c r="I162" s="10" t="b">
        <f t="shared" si="2"/>
        <v>1</v>
      </c>
      <c r="J162" s="2" t="b">
        <f t="shared" si="3"/>
        <v>0</v>
      </c>
    </row>
    <row r="163">
      <c r="A163" s="8">
        <v>46160.0</v>
      </c>
      <c r="B163" s="9">
        <v>90.396</v>
      </c>
      <c r="C163" s="9">
        <v>120.677</v>
      </c>
      <c r="D163" s="9">
        <v>132.818</v>
      </c>
      <c r="E163" s="9">
        <v>144.472</v>
      </c>
      <c r="F163" s="9">
        <v>162.046</v>
      </c>
      <c r="G163" s="10">
        <f>IFERROR(__xludf.DUMMYFUNCTION("IFERROR(INDEX(GOOGLEFINANCE(""PLTR"", ""close"", A163), 2, 2), """")"),135.14)</f>
        <v>135.14</v>
      </c>
      <c r="H163" s="10" t="b">
        <f t="shared" si="1"/>
        <v>1</v>
      </c>
      <c r="I163" s="10" t="b">
        <f t="shared" si="2"/>
        <v>1</v>
      </c>
      <c r="J163" s="2" t="b">
        <f t="shared" si="3"/>
        <v>0</v>
      </c>
    </row>
    <row r="164">
      <c r="A164" s="8">
        <v>46161.0</v>
      </c>
      <c r="B164" s="9">
        <v>91.799</v>
      </c>
      <c r="C164" s="9">
        <v>116.182</v>
      </c>
      <c r="D164" s="9">
        <v>129.095</v>
      </c>
      <c r="E164" s="9">
        <v>145.988</v>
      </c>
      <c r="F164" s="9">
        <v>160.859</v>
      </c>
      <c r="G164" s="10">
        <f>IFERROR(__xludf.DUMMYFUNCTION("IFERROR(INDEX(GOOGLEFINANCE(""PLTR"", ""close"", A164), 2, 2), """")"),135.26)</f>
        <v>135.26</v>
      </c>
      <c r="H164" s="10" t="b">
        <f t="shared" si="1"/>
        <v>1</v>
      </c>
      <c r="I164" s="10" t="b">
        <f t="shared" si="2"/>
        <v>1</v>
      </c>
      <c r="J164" s="2" t="b">
        <f t="shared" si="3"/>
        <v>0</v>
      </c>
    </row>
    <row r="165">
      <c r="A165" s="8">
        <v>46162.0</v>
      </c>
      <c r="B165" s="9">
        <v>89.547</v>
      </c>
      <c r="C165" s="9">
        <v>108.883</v>
      </c>
      <c r="D165" s="9">
        <v>120.586</v>
      </c>
      <c r="E165" s="9">
        <v>133.395</v>
      </c>
      <c r="F165" s="9">
        <v>153.203</v>
      </c>
      <c r="G165" s="10">
        <f>IFERROR(__xludf.DUMMYFUNCTION("IFERROR(INDEX(GOOGLEFINANCE(""PLTR"", ""close"", A165), 2, 2), """")"),137.15)</f>
        <v>137.15</v>
      </c>
      <c r="H165" s="10" t="b">
        <f t="shared" si="1"/>
        <v>1</v>
      </c>
      <c r="I165" s="10" t="b">
        <f t="shared" si="2"/>
        <v>1</v>
      </c>
      <c r="J165" s="2" t="b">
        <f t="shared" si="3"/>
        <v>0</v>
      </c>
    </row>
    <row r="166">
      <c r="A166" s="8">
        <v>46163.0</v>
      </c>
      <c r="B166" s="9">
        <v>92.805</v>
      </c>
      <c r="C166" s="9">
        <v>120.953</v>
      </c>
      <c r="D166" s="9">
        <v>132.888</v>
      </c>
      <c r="E166" s="9">
        <v>152.125</v>
      </c>
      <c r="F166" s="9">
        <v>167.751</v>
      </c>
      <c r="G166" s="10">
        <f>IFERROR(__xludf.DUMMYFUNCTION("IFERROR(INDEX(GOOGLEFINANCE(""PLTR"", ""close"", A166), 2, 2), """")"),137.42)</f>
        <v>137.42</v>
      </c>
      <c r="H166" s="10" t="b">
        <f t="shared" si="1"/>
        <v>1</v>
      </c>
      <c r="I166" s="10" t="b">
        <f t="shared" si="2"/>
        <v>1</v>
      </c>
      <c r="J166" s="2" t="b">
        <f t="shared" si="3"/>
        <v>0</v>
      </c>
    </row>
    <row r="167">
      <c r="A167" s="8">
        <v>46164.0</v>
      </c>
      <c r="B167" s="9">
        <v>89.666</v>
      </c>
      <c r="C167" s="9">
        <v>119.462</v>
      </c>
      <c r="D167" s="9">
        <v>131.177</v>
      </c>
      <c r="E167" s="9">
        <v>144.522</v>
      </c>
      <c r="F167" s="9">
        <v>163.584</v>
      </c>
      <c r="G167" s="10">
        <f>IFERROR(__xludf.DUMMYFUNCTION("IFERROR(INDEX(GOOGLEFINANCE(""PLTR"", ""close"", A167), 2, 2), """")"),136.88)</f>
        <v>136.88</v>
      </c>
      <c r="H167" s="10" t="b">
        <f t="shared" si="1"/>
        <v>1</v>
      </c>
      <c r="I167" s="10" t="b">
        <f t="shared" si="2"/>
        <v>1</v>
      </c>
      <c r="J167" s="2" t="b">
        <f t="shared" si="3"/>
        <v>0</v>
      </c>
    </row>
    <row r="168">
      <c r="A168" s="8">
        <v>46168.0</v>
      </c>
      <c r="B168" s="9">
        <v>91.405</v>
      </c>
      <c r="C168" s="9">
        <v>117.988</v>
      </c>
      <c r="D168" s="9">
        <v>131.146</v>
      </c>
      <c r="E168" s="9">
        <v>144.254</v>
      </c>
      <c r="F168" s="9">
        <v>163.783</v>
      </c>
      <c r="G168" s="10">
        <f>IFERROR(__xludf.DUMMYFUNCTION("IFERROR(INDEX(GOOGLEFINANCE(""PLTR"", ""close"", A168), 2, 2), """")"),136.6)</f>
        <v>136.6</v>
      </c>
      <c r="H168" s="10" t="b">
        <f t="shared" si="1"/>
        <v>1</v>
      </c>
      <c r="I168" s="10" t="b">
        <f t="shared" si="2"/>
        <v>1</v>
      </c>
      <c r="J168" s="2" t="b">
        <f t="shared" si="3"/>
        <v>0</v>
      </c>
    </row>
    <row r="169">
      <c r="A169" s="8">
        <v>46169.0</v>
      </c>
      <c r="B169" s="9">
        <v>89.541</v>
      </c>
      <c r="C169" s="9">
        <v>110.955</v>
      </c>
      <c r="D169" s="9">
        <v>122.928</v>
      </c>
      <c r="E169" s="9">
        <v>135.52</v>
      </c>
      <c r="F169" s="9">
        <v>152.942</v>
      </c>
      <c r="G169" s="10">
        <f>IFERROR(__xludf.DUMMYFUNCTION("IFERROR(INDEX(GOOGLEFINANCE(""PLTR"", ""close"", A169), 2, 2), """")"),132.51)</f>
        <v>132.51</v>
      </c>
      <c r="H169" s="10" t="b">
        <f t="shared" si="1"/>
        <v>1</v>
      </c>
      <c r="I169" s="10" t="b">
        <f t="shared" si="2"/>
        <v>1</v>
      </c>
      <c r="J169" s="2" t="b">
        <f t="shared" si="3"/>
        <v>0</v>
      </c>
    </row>
    <row r="170">
      <c r="A170" s="8">
        <v>46170.0</v>
      </c>
      <c r="B170" s="9">
        <v>93.351</v>
      </c>
      <c r="C170" s="9">
        <v>121.423</v>
      </c>
      <c r="D170" s="9">
        <v>133.993</v>
      </c>
      <c r="E170" s="9">
        <v>146.91</v>
      </c>
      <c r="F170" s="9">
        <v>165.15</v>
      </c>
      <c r="G170" s="10">
        <f>IFERROR(__xludf.DUMMYFUNCTION("IFERROR(INDEX(GOOGLEFINANCE(""PLTR"", ""close"", A170), 2, 2), """")"),143.34)</f>
        <v>143.34</v>
      </c>
      <c r="H170" s="10" t="b">
        <f t="shared" si="1"/>
        <v>1</v>
      </c>
      <c r="I170" s="10" t="b">
        <f t="shared" si="2"/>
        <v>1</v>
      </c>
      <c r="J170" s="2" t="b">
        <f t="shared" si="3"/>
        <v>0</v>
      </c>
    </row>
    <row r="171">
      <c r="A171" s="8">
        <v>46171.0</v>
      </c>
      <c r="B171" s="9">
        <v>89.21</v>
      </c>
      <c r="C171" s="9">
        <v>117.374</v>
      </c>
      <c r="D171" s="9">
        <v>130.226</v>
      </c>
      <c r="E171" s="9">
        <v>143.322</v>
      </c>
      <c r="F171" s="9">
        <v>162.236</v>
      </c>
      <c r="G171" s="10">
        <f>IFERROR(__xludf.DUMMYFUNCTION("IFERROR(INDEX(GOOGLEFINANCE(""PLTR"", ""close"", A171), 2, 2), """")"),156.54)</f>
        <v>156.54</v>
      </c>
      <c r="H171" s="10" t="b">
        <f t="shared" si="1"/>
        <v>1</v>
      </c>
      <c r="I171" s="10" t="b">
        <f t="shared" si="2"/>
        <v>1</v>
      </c>
      <c r="J171" s="2" t="b">
        <f t="shared" si="3"/>
        <v>0</v>
      </c>
    </row>
    <row r="172">
      <c r="A172" s="8">
        <v>46174.0</v>
      </c>
      <c r="B172" s="9">
        <v>92.299</v>
      </c>
      <c r="C172" s="9">
        <v>119.964</v>
      </c>
      <c r="D172" s="9">
        <v>132.483</v>
      </c>
      <c r="E172" s="9">
        <v>145.007</v>
      </c>
      <c r="F172" s="9">
        <v>164.145</v>
      </c>
      <c r="G172" s="10">
        <f>IFERROR(__xludf.DUMMYFUNCTION("IFERROR(INDEX(GOOGLEFINANCE(""PLTR"", ""close"", A172), 2, 2), """")"),160.65)</f>
        <v>160.65</v>
      </c>
      <c r="H172" s="10" t="b">
        <f t="shared" si="1"/>
        <v>1</v>
      </c>
      <c r="I172" s="10" t="b">
        <f t="shared" si="2"/>
        <v>1</v>
      </c>
      <c r="J172" s="2" t="b">
        <f t="shared" si="3"/>
        <v>0</v>
      </c>
    </row>
    <row r="173">
      <c r="A173" s="8">
        <v>46175.0</v>
      </c>
      <c r="B173" s="9">
        <v>94.383</v>
      </c>
      <c r="C173" s="9">
        <v>121.294</v>
      </c>
      <c r="D173" s="9">
        <v>133.452</v>
      </c>
      <c r="E173" s="9">
        <v>146.291</v>
      </c>
      <c r="F173" s="9">
        <v>164.709</v>
      </c>
      <c r="G173" s="10">
        <f>IFERROR(__xludf.DUMMYFUNCTION("IFERROR(INDEX(GOOGLEFINANCE(""PLTR"", ""close"", A173), 2, 2), """")"),152.17)</f>
        <v>152.17</v>
      </c>
      <c r="H173" s="10" t="b">
        <f t="shared" si="1"/>
        <v>1</v>
      </c>
      <c r="I173" s="10" t="b">
        <f t="shared" si="2"/>
        <v>1</v>
      </c>
      <c r="J173" s="2" t="b">
        <f t="shared" si="3"/>
        <v>0</v>
      </c>
    </row>
    <row r="174">
      <c r="A174" s="8">
        <v>46176.0</v>
      </c>
      <c r="B174" s="9">
        <v>89.799</v>
      </c>
      <c r="C174" s="9">
        <v>114.463</v>
      </c>
      <c r="D174" s="9">
        <v>126.789</v>
      </c>
      <c r="E174" s="9">
        <v>139.486</v>
      </c>
      <c r="F174" s="9">
        <v>159.611</v>
      </c>
      <c r="G174" s="10">
        <f>IFERROR(__xludf.DUMMYFUNCTION("IFERROR(INDEX(GOOGLEFINANCE(""PLTR"", ""close"", A174), 2, 2), """")"),142.2)</f>
        <v>142.2</v>
      </c>
      <c r="H174" s="10" t="b">
        <f t="shared" si="1"/>
        <v>1</v>
      </c>
      <c r="I174" s="10" t="b">
        <f t="shared" si="2"/>
        <v>1</v>
      </c>
      <c r="J174" s="2" t="b">
        <f t="shared" si="3"/>
        <v>0</v>
      </c>
    </row>
    <row r="175">
      <c r="A175" s="8">
        <v>46177.0</v>
      </c>
      <c r="B175" s="9">
        <v>92.278</v>
      </c>
      <c r="C175" s="9">
        <v>118.701</v>
      </c>
      <c r="D175" s="9">
        <v>131.266</v>
      </c>
      <c r="E175" s="9">
        <v>145.503</v>
      </c>
      <c r="F175" s="9">
        <v>163.816</v>
      </c>
      <c r="G175" s="10">
        <f>IFERROR(__xludf.DUMMYFUNCTION("IFERROR(INDEX(GOOGLEFINANCE(""PLTR"", ""close"", A175), 2, 2), """")"),141.7)</f>
        <v>141.7</v>
      </c>
      <c r="H175" s="10" t="b">
        <f t="shared" si="1"/>
        <v>1</v>
      </c>
      <c r="I175" s="10" t="b">
        <f t="shared" si="2"/>
        <v>1</v>
      </c>
      <c r="J175" s="2" t="b">
        <f t="shared" si="3"/>
        <v>0</v>
      </c>
    </row>
    <row r="176">
      <c r="A176" s="8">
        <v>46178.0</v>
      </c>
      <c r="B176" s="9">
        <v>91.518</v>
      </c>
      <c r="C176" s="9">
        <v>121.307</v>
      </c>
      <c r="D176" s="9">
        <v>133.543</v>
      </c>
      <c r="E176" s="9">
        <v>146.877</v>
      </c>
      <c r="F176" s="9">
        <v>167.969</v>
      </c>
      <c r="G176" s="10">
        <f>IFERROR(__xludf.DUMMYFUNCTION("IFERROR(INDEX(GOOGLEFINANCE(""PLTR"", ""close"", A176), 2, 2), """")"),135.53)</f>
        <v>135.53</v>
      </c>
      <c r="H176" s="10" t="b">
        <f t="shared" si="1"/>
        <v>1</v>
      </c>
      <c r="I176" s="10" t="b">
        <f t="shared" si="2"/>
        <v>1</v>
      </c>
      <c r="J176" s="2" t="b">
        <f t="shared" si="3"/>
        <v>0</v>
      </c>
    </row>
    <row r="177">
      <c r="A177" s="8">
        <v>46181.0</v>
      </c>
      <c r="B177" s="9">
        <v>93.984</v>
      </c>
      <c r="C177" s="9">
        <v>127.512</v>
      </c>
      <c r="D177" s="9">
        <v>141.878</v>
      </c>
      <c r="E177" s="9">
        <v>153.755</v>
      </c>
      <c r="F177" s="9">
        <v>174.054</v>
      </c>
      <c r="G177" s="10">
        <f>IFERROR(__xludf.DUMMYFUNCTION("IFERROR(INDEX(GOOGLEFINANCE(""PLTR"", ""close"", A177), 2, 2), """")"),136.47)</f>
        <v>136.47</v>
      </c>
      <c r="H177" s="10" t="b">
        <f t="shared" si="1"/>
        <v>0</v>
      </c>
      <c r="I177" s="10" t="b">
        <f t="shared" si="2"/>
        <v>1</v>
      </c>
      <c r="J177" s="2" t="b">
        <f t="shared" si="3"/>
        <v>0</v>
      </c>
    </row>
    <row r="178">
      <c r="A178" s="8">
        <v>46182.0</v>
      </c>
      <c r="B178" s="9">
        <v>96.635</v>
      </c>
      <c r="C178" s="9">
        <v>126.634</v>
      </c>
      <c r="D178" s="9">
        <v>138.808</v>
      </c>
      <c r="E178" s="9">
        <v>156.579</v>
      </c>
      <c r="F178" s="9">
        <v>171.904</v>
      </c>
      <c r="G178" s="10">
        <f>IFERROR(__xludf.DUMMYFUNCTION("IFERROR(INDEX(GOOGLEFINANCE(""PLTR"", ""close"", A178), 2, 2), """")"),132.07)</f>
        <v>132.07</v>
      </c>
      <c r="H178" s="10" t="b">
        <f t="shared" si="1"/>
        <v>0</v>
      </c>
      <c r="I178" s="10" t="b">
        <f t="shared" si="2"/>
        <v>1</v>
      </c>
      <c r="J178" s="2" t="b">
        <f t="shared" si="3"/>
        <v>0</v>
      </c>
    </row>
    <row r="179">
      <c r="A179" s="8">
        <v>46183.0</v>
      </c>
      <c r="B179" s="9">
        <v>92.488</v>
      </c>
      <c r="C179" s="9">
        <v>122.163</v>
      </c>
      <c r="D179" s="9">
        <v>134.996</v>
      </c>
      <c r="E179" s="9">
        <v>154.678</v>
      </c>
      <c r="F179" s="9">
        <v>170.393</v>
      </c>
      <c r="G179" s="10">
        <f>IFERROR(__xludf.DUMMYFUNCTION("IFERROR(INDEX(GOOGLEFINANCE(""PLTR"", ""close"", A179), 2, 2), """")"),130.21)</f>
        <v>130.21</v>
      </c>
      <c r="H179" s="10" t="b">
        <f t="shared" si="1"/>
        <v>0</v>
      </c>
      <c r="I179" s="10" t="b">
        <f t="shared" si="2"/>
        <v>1</v>
      </c>
      <c r="J179" s="2" t="b">
        <f t="shared" si="3"/>
        <v>0</v>
      </c>
    </row>
    <row r="180">
      <c r="A180" s="8">
        <v>46184.0</v>
      </c>
      <c r="B180" s="9">
        <v>96.051</v>
      </c>
      <c r="C180" s="9">
        <v>125.725</v>
      </c>
      <c r="D180" s="9">
        <v>138.556</v>
      </c>
      <c r="E180" s="9">
        <v>151.9</v>
      </c>
      <c r="F180" s="9">
        <v>171.07</v>
      </c>
      <c r="G180" s="10">
        <f>IFERROR(__xludf.DUMMYFUNCTION("IFERROR(INDEX(GOOGLEFINANCE(""PLTR"", ""close"", A180), 2, 2), """")"),131.08)</f>
        <v>131.08</v>
      </c>
      <c r="H180" s="10" t="b">
        <f t="shared" si="1"/>
        <v>0</v>
      </c>
      <c r="I180" s="10" t="b">
        <f t="shared" si="2"/>
        <v>1</v>
      </c>
      <c r="J180" s="2" t="b">
        <f t="shared" si="3"/>
        <v>0</v>
      </c>
    </row>
    <row r="181">
      <c r="A181" s="8">
        <v>46185.0</v>
      </c>
      <c r="B181" s="9">
        <v>96.113</v>
      </c>
      <c r="C181" s="9">
        <v>122.381</v>
      </c>
      <c r="D181" s="9">
        <v>134.827</v>
      </c>
      <c r="E181" s="9">
        <v>147.869</v>
      </c>
      <c r="F181" s="9">
        <v>167.832</v>
      </c>
      <c r="G181" s="10">
        <f>IFERROR(__xludf.DUMMYFUNCTION("IFERROR(INDEX(GOOGLEFINANCE(""PLTR"", ""close"", A181), 2, 2), """")"),127.99)</f>
        <v>127.99</v>
      </c>
      <c r="H181" s="10" t="b">
        <f t="shared" si="1"/>
        <v>0</v>
      </c>
      <c r="I181" s="10" t="b">
        <f t="shared" si="2"/>
        <v>1</v>
      </c>
      <c r="J181" s="2" t="b">
        <f t="shared" si="3"/>
        <v>0</v>
      </c>
    </row>
    <row r="182">
      <c r="A182" s="8">
        <v>46188.0</v>
      </c>
      <c r="B182" s="9">
        <v>96.054</v>
      </c>
      <c r="C182" s="9">
        <v>126.527</v>
      </c>
      <c r="D182" s="9">
        <v>139.332</v>
      </c>
      <c r="E182" s="9">
        <v>153.17</v>
      </c>
      <c r="F182" s="9">
        <v>172.379</v>
      </c>
      <c r="G182" s="10">
        <f>IFERROR(__xludf.DUMMYFUNCTION("IFERROR(INDEX(GOOGLEFINANCE(""PLTR"", ""close"", A182), 2, 2), """")"),134.71)</f>
        <v>134.71</v>
      </c>
      <c r="H182" s="10" t="b">
        <f t="shared" si="1"/>
        <v>0</v>
      </c>
      <c r="I182" s="10" t="b">
        <f t="shared" si="2"/>
        <v>1</v>
      </c>
      <c r="J182" s="2" t="b">
        <f t="shared" si="3"/>
        <v>0</v>
      </c>
    </row>
    <row r="183">
      <c r="A183" s="8">
        <v>46189.0</v>
      </c>
      <c r="B183" s="9">
        <v>97.991</v>
      </c>
      <c r="C183" s="9">
        <v>126.118</v>
      </c>
      <c r="D183" s="9">
        <v>138.575</v>
      </c>
      <c r="E183" s="9">
        <v>150.675</v>
      </c>
      <c r="F183" s="9">
        <v>171.066</v>
      </c>
      <c r="G183" s="10">
        <f>IFERROR(__xludf.DUMMYFUNCTION("IFERROR(INDEX(GOOGLEFINANCE(""PLTR"", ""close"", A183), 2, 2), """")"),133.25)</f>
        <v>133.25</v>
      </c>
      <c r="H183" s="10" t="b">
        <f t="shared" si="1"/>
        <v>0</v>
      </c>
      <c r="I183" s="10" t="b">
        <f t="shared" si="2"/>
        <v>1</v>
      </c>
      <c r="J183" s="2" t="b">
        <f t="shared" si="3"/>
        <v>0</v>
      </c>
    </row>
    <row r="184">
      <c r="A184" s="8">
        <v>46190.0</v>
      </c>
      <c r="B184" s="9">
        <v>94.39</v>
      </c>
      <c r="C184" s="9">
        <v>124.312</v>
      </c>
      <c r="D184" s="9">
        <v>137.933</v>
      </c>
      <c r="E184" s="9">
        <v>152.873</v>
      </c>
      <c r="F184" s="9">
        <v>168.778</v>
      </c>
      <c r="G184" s="10">
        <f>IFERROR(__xludf.DUMMYFUNCTION("IFERROR(INDEX(GOOGLEFINANCE(""PLTR"", ""close"", A184), 2, 2), """")"),130.63)</f>
        <v>130.63</v>
      </c>
      <c r="H184" s="10" t="b">
        <f t="shared" si="1"/>
        <v>0</v>
      </c>
      <c r="I184" s="10" t="b">
        <f t="shared" si="2"/>
        <v>1</v>
      </c>
      <c r="J184" s="2" t="b">
        <f t="shared" si="3"/>
        <v>0</v>
      </c>
    </row>
    <row r="185">
      <c r="A185" s="8">
        <v>46191.0</v>
      </c>
      <c r="B185" s="9">
        <v>96.877</v>
      </c>
      <c r="C185" s="9">
        <v>126.657</v>
      </c>
      <c r="D185" s="9">
        <v>139.738</v>
      </c>
      <c r="E185" s="9">
        <v>159.442</v>
      </c>
      <c r="F185" s="9">
        <v>171.357</v>
      </c>
      <c r="G185" s="10">
        <f>IFERROR(__xludf.DUMMYFUNCTION("IFERROR(INDEX(GOOGLEFINANCE(""PLTR"", ""close"", A185), 2, 2), """")"),128.47)</f>
        <v>128.47</v>
      </c>
      <c r="H185" s="10" t="b">
        <f t="shared" si="1"/>
        <v>0</v>
      </c>
      <c r="I185" s="10" t="b">
        <f t="shared" si="2"/>
        <v>1</v>
      </c>
      <c r="J185" s="2" t="b">
        <f t="shared" si="3"/>
        <v>0</v>
      </c>
    </row>
    <row r="186">
      <c r="A186" s="8">
        <v>46195.0</v>
      </c>
      <c r="B186" s="9">
        <v>100.595</v>
      </c>
      <c r="C186" s="9">
        <v>130.868</v>
      </c>
      <c r="D186" s="9">
        <v>143.623</v>
      </c>
      <c r="E186" s="9">
        <v>162.398</v>
      </c>
      <c r="F186" s="9">
        <v>182.448</v>
      </c>
      <c r="G186" s="10">
        <f>IFERROR(__xludf.DUMMYFUNCTION("IFERROR(INDEX(GOOGLEFINANCE(""PLTR"", ""close"", A186), 2, 2), """")"),119.5)</f>
        <v>119.5</v>
      </c>
      <c r="H186" s="10" t="b">
        <f t="shared" si="1"/>
        <v>0</v>
      </c>
      <c r="I186" s="10" t="b">
        <f t="shared" si="2"/>
        <v>1</v>
      </c>
      <c r="J186" s="2" t="b">
        <f t="shared" si="3"/>
        <v>0</v>
      </c>
    </row>
    <row r="187">
      <c r="A187" s="8">
        <v>46196.0</v>
      </c>
      <c r="B187" s="9">
        <v>97.484</v>
      </c>
      <c r="C187" s="9">
        <v>127.301</v>
      </c>
      <c r="D187" s="9">
        <v>140.287</v>
      </c>
      <c r="E187" s="9">
        <v>153.192</v>
      </c>
      <c r="F187" s="9">
        <v>170.775</v>
      </c>
      <c r="G187" s="10">
        <f>IFERROR(__xludf.DUMMYFUNCTION("IFERROR(INDEX(GOOGLEFINANCE(""PLTR"", ""close"", A187), 2, 2), """")"),116.7)</f>
        <v>116.7</v>
      </c>
      <c r="H187" s="10" t="b">
        <f t="shared" si="1"/>
        <v>0</v>
      </c>
      <c r="I187" s="10" t="b">
        <f t="shared" si="2"/>
        <v>1</v>
      </c>
      <c r="J187" s="2" t="b">
        <f t="shared" si="3"/>
        <v>0</v>
      </c>
    </row>
    <row r="188">
      <c r="A188" s="8">
        <v>46197.0</v>
      </c>
      <c r="B188" s="9">
        <v>96.823</v>
      </c>
      <c r="C188" s="9">
        <v>123.004</v>
      </c>
      <c r="D188" s="9">
        <v>136.68</v>
      </c>
      <c r="E188" s="9">
        <v>149.651</v>
      </c>
      <c r="F188" s="9">
        <v>170.281</v>
      </c>
      <c r="G188" s="10">
        <f>IFERROR(__xludf.DUMMYFUNCTION("IFERROR(INDEX(GOOGLEFINANCE(""PLTR"", ""close"", A188), 2, 2), """")"),113.5)</f>
        <v>113.5</v>
      </c>
      <c r="H188" s="10" t="b">
        <f t="shared" si="1"/>
        <v>0</v>
      </c>
      <c r="I188" s="10" t="b">
        <f t="shared" si="2"/>
        <v>1</v>
      </c>
      <c r="J188" s="2" t="b">
        <f t="shared" si="3"/>
        <v>0</v>
      </c>
    </row>
    <row r="189">
      <c r="A189" s="8">
        <v>46198.0</v>
      </c>
      <c r="B189" s="9">
        <v>97.997</v>
      </c>
      <c r="C189" s="9">
        <v>128.635</v>
      </c>
      <c r="D189" s="9">
        <v>141.249</v>
      </c>
      <c r="E189" s="9">
        <v>156.297</v>
      </c>
      <c r="F189" s="9">
        <v>174.441</v>
      </c>
      <c r="G189" s="10">
        <f>IFERROR(__xludf.DUMMYFUNCTION("IFERROR(INDEX(GOOGLEFINANCE(""PLTR"", ""close"", A189), 2, 2), """")"),107.27)</f>
        <v>107.27</v>
      </c>
      <c r="H189" s="10" t="b">
        <f t="shared" si="1"/>
        <v>0</v>
      </c>
      <c r="I189" s="10" t="b">
        <f t="shared" si="2"/>
        <v>1</v>
      </c>
      <c r="J189" s="2" t="b">
        <f t="shared" si="3"/>
        <v>0</v>
      </c>
    </row>
    <row r="190">
      <c r="A190" s="8">
        <v>46199.0</v>
      </c>
      <c r="B190" s="9">
        <v>97.734</v>
      </c>
      <c r="C190" s="9">
        <v>124.644</v>
      </c>
      <c r="D190" s="9">
        <v>137.141</v>
      </c>
      <c r="E190" s="9">
        <v>150.141</v>
      </c>
      <c r="F190" s="9">
        <v>169.534</v>
      </c>
      <c r="G190" s="10">
        <f>IFERROR(__xludf.DUMMYFUNCTION("IFERROR(INDEX(GOOGLEFINANCE(""PLTR"", ""close"", A190), 2, 2), """")"),112.93)</f>
        <v>112.93</v>
      </c>
      <c r="H190" s="10" t="b">
        <f t="shared" si="1"/>
        <v>0</v>
      </c>
      <c r="I190" s="10" t="b">
        <f t="shared" si="2"/>
        <v>1</v>
      </c>
      <c r="J190" s="2" t="b">
        <f t="shared" si="3"/>
        <v>0</v>
      </c>
    </row>
    <row r="191">
      <c r="A191" s="8">
        <v>46202.0</v>
      </c>
      <c r="B191" s="9">
        <v>97.1</v>
      </c>
      <c r="C191" s="9">
        <v>134.047</v>
      </c>
      <c r="D191" s="9">
        <v>148.349</v>
      </c>
      <c r="E191" s="9">
        <v>162.155</v>
      </c>
      <c r="F191" s="9">
        <v>180.245</v>
      </c>
      <c r="G191" s="10">
        <f>IFERROR(__xludf.DUMMYFUNCTION("IFERROR(INDEX(GOOGLEFINANCE(""PLTR"", ""close"", A191), 2, 2), """")"),115.7)</f>
        <v>115.7</v>
      </c>
      <c r="H191" s="10" t="b">
        <f t="shared" si="1"/>
        <v>0</v>
      </c>
      <c r="I191" s="10" t="b">
        <f t="shared" si="2"/>
        <v>1</v>
      </c>
      <c r="J191" s="2" t="b">
        <f t="shared" si="3"/>
        <v>0</v>
      </c>
    </row>
    <row r="192">
      <c r="A192" s="8">
        <v>46203.0</v>
      </c>
      <c r="B192" s="9">
        <v>94.995</v>
      </c>
      <c r="C192" s="9">
        <v>127.599</v>
      </c>
      <c r="D192" s="9">
        <v>140.579</v>
      </c>
      <c r="E192" s="9">
        <v>152.886</v>
      </c>
      <c r="F192" s="9">
        <v>176.671</v>
      </c>
      <c r="G192" s="10">
        <f>IFERROR(__xludf.DUMMYFUNCTION("IFERROR(INDEX(GOOGLEFINANCE(""PLTR"", ""close"", A192), 2, 2), """")"),116.67)</f>
        <v>116.67</v>
      </c>
      <c r="H192" s="10" t="b">
        <f t="shared" si="1"/>
        <v>0</v>
      </c>
      <c r="I192" s="10" t="b">
        <f t="shared" si="2"/>
        <v>1</v>
      </c>
      <c r="J192" s="2" t="b">
        <f t="shared" si="3"/>
        <v>0</v>
      </c>
    </row>
    <row r="193">
      <c r="A193" s="8">
        <v>46204.0</v>
      </c>
      <c r="B193" s="9">
        <v>97.176</v>
      </c>
      <c r="C193" s="9">
        <v>122.002</v>
      </c>
      <c r="D193" s="9">
        <v>134.905</v>
      </c>
      <c r="E193" s="9">
        <v>153.931</v>
      </c>
      <c r="F193" s="9">
        <v>172.104</v>
      </c>
      <c r="G193" s="10">
        <f>IFERROR(__xludf.DUMMYFUNCTION("IFERROR(INDEX(GOOGLEFINANCE(""PLTR"", ""close"", A193), 2, 2), """")"),125.73)</f>
        <v>125.73</v>
      </c>
      <c r="H193" s="10" t="b">
        <f t="shared" si="1"/>
        <v>0</v>
      </c>
      <c r="I193" s="10" t="b">
        <f t="shared" si="2"/>
        <v>1</v>
      </c>
      <c r="J193" s="2" t="b">
        <f t="shared" si="3"/>
        <v>0</v>
      </c>
    </row>
    <row r="194">
      <c r="A194" s="8">
        <v>46205.0</v>
      </c>
      <c r="B194" s="9">
        <v>99.839</v>
      </c>
      <c r="C194" s="9">
        <v>133.13</v>
      </c>
      <c r="D194" s="9">
        <v>146.118</v>
      </c>
      <c r="E194" s="9">
        <v>159.359</v>
      </c>
      <c r="F194" s="9">
        <v>179.308</v>
      </c>
      <c r="G194" s="10">
        <f>IFERROR(__xludf.DUMMYFUNCTION("IFERROR(INDEX(GOOGLEFINANCE(""PLTR"", ""close"", A194), 2, 2), """")"),129.3)</f>
        <v>129.3</v>
      </c>
      <c r="H194" s="10" t="b">
        <f t="shared" si="1"/>
        <v>0</v>
      </c>
      <c r="I194" s="10" t="b">
        <f t="shared" si="2"/>
        <v>1</v>
      </c>
      <c r="J194" s="2" t="b">
        <f t="shared" si="3"/>
        <v>0</v>
      </c>
    </row>
    <row r="195">
      <c r="A195" s="8">
        <v>46209.0</v>
      </c>
      <c r="B195" s="9">
        <v>101.243</v>
      </c>
      <c r="C195" s="9">
        <v>134.983</v>
      </c>
      <c r="D195" s="9">
        <v>149.169</v>
      </c>
      <c r="E195" s="9">
        <v>163.585</v>
      </c>
      <c r="F195" s="9">
        <v>181.708</v>
      </c>
      <c r="G195" s="10">
        <f>IFERROR(__xludf.DUMMYFUNCTION("IFERROR(INDEX(GOOGLEFINANCE(""PLTR"", ""close"", A195), 2, 2), """")"),132.54)</f>
        <v>132.54</v>
      </c>
      <c r="H195" s="10" t="b">
        <f t="shared" si="1"/>
        <v>0</v>
      </c>
      <c r="I195" s="10" t="b">
        <f t="shared" si="2"/>
        <v>1</v>
      </c>
      <c r="J195" s="2" t="b">
        <f t="shared" si="3"/>
        <v>0</v>
      </c>
    </row>
    <row r="196">
      <c r="A196" s="8">
        <v>46210.0</v>
      </c>
      <c r="B196" s="9">
        <v>101.107</v>
      </c>
      <c r="C196" s="9">
        <v>133.135</v>
      </c>
      <c r="D196" s="9">
        <v>146.281</v>
      </c>
      <c r="E196" s="9">
        <v>163.025</v>
      </c>
      <c r="F196" s="9">
        <v>186.003</v>
      </c>
      <c r="G196" s="10">
        <f>IFERROR(__xludf.DUMMYFUNCTION("IFERROR(INDEX(GOOGLEFINANCE(""PLTR"", ""close"", A196), 2, 2), """")"),134.37)</f>
        <v>134.37</v>
      </c>
      <c r="H196" s="10" t="b">
        <f t="shared" si="1"/>
        <v>0</v>
      </c>
      <c r="I196" s="10" t="b">
        <f t="shared" si="2"/>
        <v>1</v>
      </c>
      <c r="J196" s="2" t="b">
        <f t="shared" si="3"/>
        <v>0</v>
      </c>
    </row>
    <row r="197">
      <c r="A197" s="8">
        <v>46211.0</v>
      </c>
      <c r="B197" s="9">
        <v>100.316</v>
      </c>
      <c r="C197" s="9">
        <v>126.592</v>
      </c>
      <c r="D197" s="9">
        <v>138.996</v>
      </c>
      <c r="E197" s="9">
        <v>153.563</v>
      </c>
      <c r="F197" s="9">
        <v>176.165</v>
      </c>
      <c r="G197" s="10">
        <f>IFERROR(__xludf.DUMMYFUNCTION("IFERROR(INDEX(GOOGLEFINANCE(""PLTR"", ""close"", A197), 2, 2), """")"),132.22)</f>
        <v>132.22</v>
      </c>
      <c r="H197" s="10" t="b">
        <f t="shared" si="1"/>
        <v>0</v>
      </c>
      <c r="I197" s="10" t="b">
        <f t="shared" si="2"/>
        <v>1</v>
      </c>
      <c r="J197" s="2" t="b">
        <f t="shared" si="3"/>
        <v>0</v>
      </c>
    </row>
    <row r="198">
      <c r="A198" s="8">
        <v>46212.0</v>
      </c>
      <c r="B198" s="9">
        <v>99.747</v>
      </c>
      <c r="C198" s="9">
        <v>126.793</v>
      </c>
      <c r="D198" s="9">
        <v>139.83</v>
      </c>
      <c r="E198" s="9">
        <v>154.331</v>
      </c>
      <c r="F198" s="9">
        <v>178.245</v>
      </c>
      <c r="G198" s="10">
        <f>IFERROR(__xludf.DUMMYFUNCTION("IFERROR(INDEX(GOOGLEFINANCE(""PLTR"", ""close"", A198), 2, 2), """")"),129.04)</f>
        <v>129.04</v>
      </c>
      <c r="H198" s="10" t="b">
        <f t="shared" si="1"/>
        <v>0</v>
      </c>
      <c r="I198" s="10" t="b">
        <f t="shared" si="2"/>
        <v>1</v>
      </c>
      <c r="J198" s="2" t="b">
        <f t="shared" si="3"/>
        <v>0</v>
      </c>
    </row>
    <row r="199">
      <c r="A199" s="8">
        <v>46213.0</v>
      </c>
      <c r="B199" s="9">
        <v>101.639</v>
      </c>
      <c r="C199" s="9">
        <v>134.556</v>
      </c>
      <c r="D199" s="9">
        <v>150.711</v>
      </c>
      <c r="E199" s="9">
        <v>163.843</v>
      </c>
      <c r="F199" s="9">
        <v>189.712</v>
      </c>
      <c r="G199" s="10">
        <f>IFERROR(__xludf.DUMMYFUNCTION("IFERROR(INDEX(GOOGLEFINANCE(""PLTR"", ""close"", A199), 2, 2), """")"),126.79)</f>
        <v>126.79</v>
      </c>
      <c r="H199" s="10" t="b">
        <f t="shared" si="1"/>
        <v>0</v>
      </c>
      <c r="I199" s="10" t="b">
        <f t="shared" si="2"/>
        <v>1</v>
      </c>
      <c r="J199" s="2" t="b">
        <f t="shared" si="3"/>
        <v>0</v>
      </c>
    </row>
    <row r="200">
      <c r="A200" s="8">
        <v>46216.0</v>
      </c>
      <c r="B200" s="9">
        <v>103.904</v>
      </c>
      <c r="C200" s="9">
        <v>141.463</v>
      </c>
      <c r="D200" s="9">
        <v>156.149</v>
      </c>
      <c r="E200" s="9">
        <v>176.642</v>
      </c>
      <c r="F200" s="9">
        <v>193.461</v>
      </c>
      <c r="G200" s="10">
        <f>IFERROR(__xludf.DUMMYFUNCTION("IFERROR(INDEX(GOOGLEFINANCE(""PLTR"", ""close"", A200), 2, 2), """")"),130.04)</f>
        <v>130.04</v>
      </c>
      <c r="H200" s="10" t="b">
        <f t="shared" si="1"/>
        <v>0</v>
      </c>
      <c r="I200" s="10" t="b">
        <f t="shared" si="2"/>
        <v>1</v>
      </c>
      <c r="J200" s="2" t="b">
        <f t="shared" si="3"/>
        <v>0</v>
      </c>
    </row>
    <row r="201">
      <c r="A201" s="8">
        <v>46217.0</v>
      </c>
      <c r="B201" s="9">
        <v>104.451</v>
      </c>
      <c r="C201" s="9">
        <v>136.672</v>
      </c>
      <c r="D201" s="9">
        <v>149.83</v>
      </c>
      <c r="E201" s="9">
        <v>164.942</v>
      </c>
      <c r="F201" s="9">
        <v>184.844</v>
      </c>
      <c r="G201" s="10">
        <f>IFERROR(__xludf.DUMMYFUNCTION("IFERROR(INDEX(GOOGLEFINANCE(""PLTR"", ""close"", A201), 2, 2), """")"),133.72)</f>
        <v>133.72</v>
      </c>
      <c r="H201" s="10" t="b">
        <f t="shared" si="1"/>
        <v>0</v>
      </c>
      <c r="I201" s="10" t="b">
        <f t="shared" si="2"/>
        <v>1</v>
      </c>
      <c r="J201" s="2" t="b">
        <f t="shared" si="3"/>
        <v>0</v>
      </c>
    </row>
    <row r="202">
      <c r="A202" s="8">
        <v>46218.0</v>
      </c>
      <c r="B202" s="9">
        <v>102.633</v>
      </c>
      <c r="C202" s="9">
        <v>127.323</v>
      </c>
      <c r="D202" s="9">
        <v>140.188</v>
      </c>
      <c r="E202" s="9">
        <v>154.335</v>
      </c>
      <c r="F202" s="9">
        <v>173.769</v>
      </c>
      <c r="G202" s="10">
        <f>IFERROR(__xludf.DUMMYFUNCTION("IFERROR(INDEX(GOOGLEFINANCE(""PLTR"", ""close"", A202), 2, 2), """")"),133.76)</f>
        <v>133.76</v>
      </c>
      <c r="H202" s="10" t="b">
        <f t="shared" si="1"/>
        <v>0</v>
      </c>
      <c r="I202" s="10" t="b">
        <f t="shared" si="2"/>
        <v>1</v>
      </c>
      <c r="J202" s="2" t="b">
        <f t="shared" si="3"/>
        <v>0</v>
      </c>
    </row>
    <row r="203">
      <c r="A203" s="8">
        <v>46219.0</v>
      </c>
      <c r="B203" s="9">
        <v>102.71</v>
      </c>
      <c r="C203" s="9">
        <v>136.714</v>
      </c>
      <c r="D203" s="9">
        <v>152.041</v>
      </c>
      <c r="E203" s="9">
        <v>165.916</v>
      </c>
      <c r="F203" s="9">
        <v>189.467</v>
      </c>
      <c r="G203" s="10">
        <f>IFERROR(__xludf.DUMMYFUNCTION("IFERROR(INDEX(GOOGLEFINANCE(""PLTR"", ""close"", A203), 2, 2), """")"),134.44)</f>
        <v>134.44</v>
      </c>
      <c r="H203" s="10" t="b">
        <f t="shared" si="1"/>
        <v>0</v>
      </c>
      <c r="I203" s="10" t="b">
        <f t="shared" si="2"/>
        <v>1</v>
      </c>
      <c r="J203" s="2" t="b">
        <f t="shared" si="3"/>
        <v>0</v>
      </c>
    </row>
    <row r="204">
      <c r="A204" s="8">
        <v>46220.0</v>
      </c>
      <c r="B204" s="9">
        <v>106.061</v>
      </c>
      <c r="C204" s="9">
        <v>139.24</v>
      </c>
      <c r="D204" s="9">
        <v>153.566</v>
      </c>
      <c r="E204" s="9">
        <v>166.675</v>
      </c>
      <c r="F204" s="9">
        <v>187.371</v>
      </c>
      <c r="G204" s="10">
        <f>IFERROR(__xludf.DUMMYFUNCTION("IFERROR(INDEX(GOOGLEFINANCE(""PLTR"", ""close"", A204), 2, 2), """")"),132.38)</f>
        <v>132.38</v>
      </c>
      <c r="H204" s="10" t="b">
        <f t="shared" si="1"/>
        <v>0</v>
      </c>
      <c r="I204" s="10" t="b">
        <f t="shared" si="2"/>
        <v>1</v>
      </c>
      <c r="J204" s="2" t="b">
        <f t="shared" si="3"/>
        <v>0</v>
      </c>
    </row>
    <row r="205">
      <c r="A205" s="8">
        <v>46223.0</v>
      </c>
      <c r="B205" s="9">
        <v>106.182</v>
      </c>
      <c r="C205" s="9">
        <v>142.972</v>
      </c>
      <c r="D205" s="9">
        <v>155.818</v>
      </c>
      <c r="E205" s="9">
        <v>171.465</v>
      </c>
      <c r="F205" s="9">
        <v>191.654</v>
      </c>
      <c r="G205" s="10">
        <f>IFERROR(__xludf.DUMMYFUNCTION("IFERROR(INDEX(GOOGLEFINANCE(""PLTR"", ""close"", A205), 2, 2), """")"),134.85)</f>
        <v>134.85</v>
      </c>
      <c r="H205" s="10" t="b">
        <f t="shared" si="1"/>
        <v>0</v>
      </c>
      <c r="I205" s="10" t="b">
        <f t="shared" si="2"/>
        <v>1</v>
      </c>
      <c r="J205" s="2" t="b">
        <f t="shared" si="3"/>
        <v>0</v>
      </c>
    </row>
    <row r="206">
      <c r="A206" s="8">
        <v>46224.0</v>
      </c>
      <c r="B206" s="9">
        <v>107.592</v>
      </c>
      <c r="C206" s="9">
        <v>140.88</v>
      </c>
      <c r="D206" s="9">
        <v>154.156</v>
      </c>
      <c r="E206" s="9">
        <v>169.239</v>
      </c>
      <c r="F206" s="9">
        <v>187.665</v>
      </c>
      <c r="G206" s="10">
        <f>IFERROR(__xludf.DUMMYFUNCTION("IFERROR(INDEX(GOOGLEFINANCE(""PLTR"", ""close"", A206), 2, 2), """")"),132.66)</f>
        <v>132.66</v>
      </c>
      <c r="H206" s="10" t="b">
        <f t="shared" si="1"/>
        <v>0</v>
      </c>
      <c r="I206" s="10" t="b">
        <f t="shared" si="2"/>
        <v>1</v>
      </c>
      <c r="J206" s="2" t="b">
        <f t="shared" si="3"/>
        <v>0</v>
      </c>
    </row>
    <row r="207">
      <c r="A207" s="8">
        <v>46225.0</v>
      </c>
      <c r="B207" s="9">
        <v>102.79</v>
      </c>
      <c r="C207" s="9">
        <v>131.06</v>
      </c>
      <c r="D207" s="9">
        <v>144.203</v>
      </c>
      <c r="E207" s="9">
        <v>159.95</v>
      </c>
      <c r="F207" s="9">
        <v>178.851</v>
      </c>
      <c r="G207" s="10">
        <f>IFERROR(__xludf.DUMMYFUNCTION("IFERROR(INDEX(GOOGLEFINANCE(""PLTR"", ""close"", A207), 2, 2), """")"),124.57)</f>
        <v>124.57</v>
      </c>
      <c r="H207" s="10" t="b">
        <f t="shared" si="1"/>
        <v>0</v>
      </c>
      <c r="I207" s="10" t="b">
        <f t="shared" si="2"/>
        <v>1</v>
      </c>
      <c r="J207" s="2" t="b">
        <f t="shared" si="3"/>
        <v>0</v>
      </c>
    </row>
    <row r="208">
      <c r="A208" s="8">
        <v>46226.0</v>
      </c>
      <c r="B208" s="9">
        <v>104.055</v>
      </c>
      <c r="C208" s="9">
        <v>140.634</v>
      </c>
      <c r="D208" s="9">
        <v>154.053</v>
      </c>
      <c r="E208" s="9">
        <v>167.681</v>
      </c>
      <c r="F208" s="9">
        <v>188.024</v>
      </c>
      <c r="G208" s="10">
        <f>IFERROR(__xludf.DUMMYFUNCTION("IFERROR(INDEX(GOOGLEFINANCE(""PLTR"", ""close"", A208), 2, 2), """")"),123.37)</f>
        <v>123.37</v>
      </c>
      <c r="H208" s="10" t="b">
        <f t="shared" si="1"/>
        <v>0</v>
      </c>
      <c r="I208" s="10" t="b">
        <f t="shared" si="2"/>
        <v>1</v>
      </c>
      <c r="J208" s="2" t="b">
        <f t="shared" si="3"/>
        <v>0</v>
      </c>
    </row>
    <row r="209">
      <c r="A209" s="8">
        <v>46227.0</v>
      </c>
      <c r="B209" s="9">
        <v>108.453</v>
      </c>
      <c r="C209" s="9">
        <v>140.913</v>
      </c>
      <c r="D209" s="9">
        <v>153.694</v>
      </c>
      <c r="E209" s="9">
        <v>166.516</v>
      </c>
      <c r="F209" s="9">
        <v>186.66</v>
      </c>
      <c r="G209" s="10">
        <f>IFERROR(__xludf.DUMMYFUNCTION("IFERROR(INDEX(GOOGLEFINANCE(""PLTR"", ""close"", A209), 2, 2), """")"),122.92)</f>
        <v>122.92</v>
      </c>
      <c r="H209" s="10" t="b">
        <f t="shared" si="1"/>
        <v>0</v>
      </c>
      <c r="I209" s="10" t="b">
        <f t="shared" si="2"/>
        <v>1</v>
      </c>
      <c r="J209" s="2" t="b">
        <f t="shared" si="3"/>
        <v>0</v>
      </c>
    </row>
    <row r="210">
      <c r="A210" s="8">
        <v>46230.0</v>
      </c>
      <c r="B210" s="9">
        <v>106.202</v>
      </c>
      <c r="C210" s="9">
        <v>148.923</v>
      </c>
      <c r="D210" s="9">
        <v>163.329</v>
      </c>
      <c r="E210" s="9">
        <v>179.815</v>
      </c>
      <c r="F210" s="9">
        <v>199.558</v>
      </c>
      <c r="G210" s="10">
        <f>IFERROR(__xludf.DUMMYFUNCTION("IFERROR(INDEX(GOOGLEFINANCE(""PLTR"", ""close"", A210), 2, 2), """")"),131.53)</f>
        <v>131.53</v>
      </c>
      <c r="H210" s="10" t="b">
        <f t="shared" si="1"/>
        <v>0</v>
      </c>
      <c r="I210" s="10" t="b">
        <f t="shared" si="2"/>
        <v>1</v>
      </c>
      <c r="J210" s="2" t="b">
        <f t="shared" si="3"/>
        <v>0</v>
      </c>
    </row>
    <row r="211">
      <c r="A211" s="8">
        <v>46231.0</v>
      </c>
      <c r="B211" s="9">
        <v>111.462</v>
      </c>
      <c r="C211" s="9">
        <v>144.784</v>
      </c>
      <c r="D211" s="9">
        <v>158.532</v>
      </c>
      <c r="E211" s="9">
        <v>176.388</v>
      </c>
      <c r="F211" s="9">
        <v>190.831</v>
      </c>
      <c r="G211" s="10">
        <f>IFERROR(__xludf.DUMMYFUNCTION("IFERROR(INDEX(GOOGLEFINANCE(""PLTR"", ""close"", A211), 2, 2), """")"),123.53)</f>
        <v>123.53</v>
      </c>
      <c r="H211" s="10" t="b">
        <f t="shared" si="1"/>
        <v>0</v>
      </c>
      <c r="I211" s="10" t="b">
        <f t="shared" si="2"/>
        <v>1</v>
      </c>
      <c r="J211" s="2" t="b">
        <f t="shared" si="3"/>
        <v>0</v>
      </c>
    </row>
    <row r="212">
      <c r="A212" s="8">
        <v>46232.0</v>
      </c>
      <c r="B212" s="9">
        <v>106.237</v>
      </c>
      <c r="C212" s="9">
        <v>130.926</v>
      </c>
      <c r="D212" s="9">
        <v>144.403</v>
      </c>
      <c r="E212" s="9">
        <v>159.466</v>
      </c>
      <c r="F212" s="9">
        <v>181.937</v>
      </c>
      <c r="G212" s="10">
        <f>IFERROR(__xludf.DUMMYFUNCTION("IFERROR(INDEX(GOOGLEFINANCE(""PLTR"", ""close"", A212), 2, 2), """")"),123.0)</f>
        <v>123</v>
      </c>
      <c r="H212" s="10" t="b">
        <f t="shared" si="1"/>
        <v>0</v>
      </c>
      <c r="I212" s="10" t="b">
        <f t="shared" si="2"/>
        <v>1</v>
      </c>
      <c r="J212" s="2" t="b">
        <f t="shared" si="3"/>
        <v>0</v>
      </c>
    </row>
    <row r="213">
      <c r="A213" s="8">
        <v>46233.0</v>
      </c>
      <c r="B213" s="9">
        <v>110.139</v>
      </c>
      <c r="C213" s="9">
        <v>143.303</v>
      </c>
      <c r="D213" s="9">
        <v>156.725</v>
      </c>
      <c r="E213" s="9">
        <v>169.86</v>
      </c>
      <c r="F213" s="9">
        <v>190.161</v>
      </c>
      <c r="G213" s="10">
        <f>IFERROR(__xludf.DUMMYFUNCTION("IFERROR(INDEX(GOOGLEFINANCE(""PLTR"", ""close"", A213), 2, 2), """")"),122.26)</f>
        <v>122.26</v>
      </c>
      <c r="H213" s="10" t="b">
        <f t="shared" si="1"/>
        <v>0</v>
      </c>
      <c r="I213" s="10" t="b">
        <f t="shared" si="2"/>
        <v>1</v>
      </c>
      <c r="J213" s="2" t="b">
        <f t="shared" si="3"/>
        <v>0</v>
      </c>
    </row>
    <row r="214">
      <c r="A214" s="8">
        <v>46234.0</v>
      </c>
      <c r="B214" s="9">
        <v>105.66</v>
      </c>
      <c r="C214" s="9">
        <v>143.159</v>
      </c>
      <c r="D214" s="9">
        <v>157.116</v>
      </c>
      <c r="E214" s="9">
        <v>170.502</v>
      </c>
      <c r="F214" s="9">
        <v>190.539</v>
      </c>
      <c r="G214" s="10">
        <f>IFERROR(__xludf.DUMMYFUNCTION("IFERROR(INDEX(GOOGLEFINANCE(""PLTR"", ""close"", A214), 2, 2), """")"),123.06)</f>
        <v>123.06</v>
      </c>
      <c r="H214" s="10" t="b">
        <f t="shared" si="1"/>
        <v>0</v>
      </c>
      <c r="I214" s="10" t="b">
        <f t="shared" si="2"/>
        <v>1</v>
      </c>
      <c r="J214" s="2" t="b">
        <f t="shared" si="3"/>
        <v>0</v>
      </c>
    </row>
    <row r="215">
      <c r="A215" s="8">
        <v>46237.0</v>
      </c>
      <c r="B215" s="9">
        <v>111.544</v>
      </c>
      <c r="C215" s="9">
        <v>152.334</v>
      </c>
      <c r="D215" s="9">
        <v>167.448</v>
      </c>
      <c r="E215" s="9">
        <v>182.385</v>
      </c>
      <c r="F215" s="9">
        <v>199.499</v>
      </c>
      <c r="G215" s="10">
        <f>IFERROR(__xludf.DUMMYFUNCTION("IFERROR(INDEX(GOOGLEFINANCE(""PLTR"", ""close"", A215), 2, 2), """")"),125.65)</f>
        <v>125.65</v>
      </c>
      <c r="H215" s="10" t="b">
        <f t="shared" si="1"/>
        <v>0</v>
      </c>
      <c r="I215" s="10" t="b">
        <f t="shared" si="2"/>
        <v>1</v>
      </c>
      <c r="J215" s="2" t="b">
        <f t="shared" si="3"/>
        <v>0</v>
      </c>
    </row>
    <row r="216">
      <c r="A216" s="8">
        <v>46238.0</v>
      </c>
      <c r="B216" s="9">
        <v>107.409</v>
      </c>
      <c r="C216" s="9">
        <v>147.025</v>
      </c>
      <c r="D216" s="9">
        <v>162.324</v>
      </c>
      <c r="E216" s="9">
        <v>176.19</v>
      </c>
      <c r="F216" s="9">
        <v>194.58</v>
      </c>
      <c r="G216" s="10">
        <f>IFERROR(__xludf.DUMMYFUNCTION("IFERROR(INDEX(GOOGLEFINANCE(""PLTR"", ""close"", A216), 2, 2), """")"),162.66)</f>
        <v>162.66</v>
      </c>
      <c r="H216" s="10" t="b">
        <f t="shared" si="1"/>
        <v>1</v>
      </c>
      <c r="I216" s="10" t="b">
        <f t="shared" si="2"/>
        <v>1</v>
      </c>
      <c r="J216" s="2" t="b">
        <f t="shared" si="3"/>
        <v>0</v>
      </c>
    </row>
    <row r="217">
      <c r="A217" s="8">
        <v>46239.0</v>
      </c>
      <c r="B217" s="9">
        <v>106.714</v>
      </c>
      <c r="C217" s="9">
        <v>139.585</v>
      </c>
      <c r="D217" s="9">
        <v>153.376</v>
      </c>
      <c r="E217" s="9">
        <v>172.917</v>
      </c>
      <c r="F217" s="9">
        <v>192.228</v>
      </c>
      <c r="G217" s="10">
        <f>IFERROR(__xludf.DUMMYFUNCTION("IFERROR(INDEX(GOOGLEFINANCE(""PLTR"", ""close"", A217), 2, 2), """")"),158.43)</f>
        <v>158.43</v>
      </c>
      <c r="H217" s="10" t="b">
        <f t="shared" si="1"/>
        <v>1</v>
      </c>
      <c r="I217" s="10" t="b">
        <f t="shared" si="2"/>
        <v>1</v>
      </c>
      <c r="J217" s="2" t="b">
        <f t="shared" si="3"/>
        <v>0</v>
      </c>
    </row>
    <row r="218">
      <c r="A218" s="8">
        <v>46240.0</v>
      </c>
      <c r="B218" s="9">
        <v>108.11</v>
      </c>
      <c r="C218" s="9">
        <v>142.401</v>
      </c>
      <c r="D218" s="9">
        <v>155.36</v>
      </c>
      <c r="E218" s="9">
        <v>169.388</v>
      </c>
      <c r="F218" s="9">
        <v>190.039</v>
      </c>
      <c r="G218" s="10">
        <f>IFERROR(__xludf.DUMMYFUNCTION("IFERROR(INDEX(GOOGLEFINANCE(""PLTR"", ""close"", A218), 2, 2), """")"),155.92)</f>
        <v>155.92</v>
      </c>
      <c r="H218" s="10" t="b">
        <f t="shared" si="1"/>
        <v>1</v>
      </c>
      <c r="I218" s="10" t="b">
        <f t="shared" si="2"/>
        <v>1</v>
      </c>
      <c r="J218" s="2" t="b">
        <f t="shared" si="3"/>
        <v>0</v>
      </c>
    </row>
    <row r="219">
      <c r="A219" s="8">
        <v>46241.0</v>
      </c>
      <c r="B219" s="9">
        <v>109.491</v>
      </c>
      <c r="C219" s="9">
        <v>144.965</v>
      </c>
      <c r="D219" s="9">
        <v>161.992</v>
      </c>
      <c r="E219" s="9">
        <v>176.406</v>
      </c>
      <c r="F219" s="9">
        <v>196.075</v>
      </c>
      <c r="G219" s="10">
        <f>IFERROR(__xludf.DUMMYFUNCTION("IFERROR(INDEX(GOOGLEFINANCE(""PLTR"", ""close"", A219), 2, 2), """")"),172.01)</f>
        <v>172.01</v>
      </c>
      <c r="H219" s="10" t="b">
        <f t="shared" si="1"/>
        <v>1</v>
      </c>
      <c r="I219" s="10" t="b">
        <f t="shared" si="2"/>
        <v>1</v>
      </c>
      <c r="J219" s="2" t="b">
        <f t="shared" si="3"/>
        <v>0</v>
      </c>
    </row>
    <row r="220">
      <c r="A220" s="8">
        <v>46244.0</v>
      </c>
      <c r="B220" s="9">
        <v>112.164</v>
      </c>
      <c r="C220" s="9">
        <v>156.332</v>
      </c>
      <c r="D220" s="9">
        <v>174.092</v>
      </c>
      <c r="E220" s="9">
        <v>189.635</v>
      </c>
      <c r="F220" s="9">
        <v>209.038</v>
      </c>
      <c r="G220" s="10">
        <f>IFERROR(__xludf.DUMMYFUNCTION("IFERROR(INDEX(GOOGLEFINANCE(""PLTR"", ""close"", A220), 2, 2), """")"),175.23)</f>
        <v>175.23</v>
      </c>
      <c r="H220" s="10" t="b">
        <f t="shared" si="1"/>
        <v>1</v>
      </c>
      <c r="I220" s="10" t="b">
        <f t="shared" si="2"/>
        <v>1</v>
      </c>
      <c r="J220" s="2" t="b">
        <f t="shared" si="3"/>
        <v>0</v>
      </c>
    </row>
    <row r="221">
      <c r="A221" s="8">
        <v>46245.0</v>
      </c>
      <c r="B221" s="9">
        <v>114.506</v>
      </c>
      <c r="C221" s="9">
        <v>153.764</v>
      </c>
      <c r="D221" s="9">
        <v>167.094</v>
      </c>
      <c r="E221" s="9">
        <v>181.478</v>
      </c>
      <c r="F221" s="9">
        <v>199.649</v>
      </c>
      <c r="G221" s="10">
        <f>IFERROR(__xludf.DUMMYFUNCTION("IFERROR(INDEX(GOOGLEFINANCE(""PLTR"", ""close"", A221), 2, 2), """")"),174.94)</f>
        <v>174.94</v>
      </c>
      <c r="H221" s="10" t="b">
        <f t="shared" si="1"/>
        <v>1</v>
      </c>
      <c r="I221" s="10" t="b">
        <f t="shared" si="2"/>
        <v>1</v>
      </c>
      <c r="J221" s="2" t="b">
        <f t="shared" si="3"/>
        <v>0</v>
      </c>
    </row>
    <row r="222">
      <c r="A222" s="8">
        <v>46246.0</v>
      </c>
      <c r="B222" s="9">
        <v>109.651</v>
      </c>
      <c r="C222" s="9">
        <v>137.054</v>
      </c>
      <c r="D222" s="9">
        <v>151.222</v>
      </c>
      <c r="E222" s="9">
        <v>165.863</v>
      </c>
      <c r="F222" s="9">
        <v>186.779</v>
      </c>
      <c r="G222" s="10">
        <f>IFERROR(__xludf.DUMMYFUNCTION("IFERROR(INDEX(GOOGLEFINANCE(""PLTR"", ""close"", A222), 2, 2), """")"),171.04)</f>
        <v>171.04</v>
      </c>
      <c r="H222" s="10" t="b">
        <f t="shared" si="1"/>
        <v>1</v>
      </c>
      <c r="I222" s="10" t="b">
        <f t="shared" si="2"/>
        <v>1</v>
      </c>
      <c r="J222" s="2" t="b">
        <f t="shared" si="3"/>
        <v>0</v>
      </c>
    </row>
    <row r="223">
      <c r="A223" s="8">
        <v>46247.0</v>
      </c>
      <c r="B223" s="9">
        <v>109.249</v>
      </c>
      <c r="C223" s="9">
        <v>145.758</v>
      </c>
      <c r="D223" s="9">
        <v>159.746</v>
      </c>
      <c r="E223" s="9">
        <v>173.771</v>
      </c>
      <c r="F223" s="9">
        <v>197.724</v>
      </c>
      <c r="G223" s="10">
        <f>IFERROR(__xludf.DUMMYFUNCTION("IFERROR(INDEX(GOOGLEFINANCE(""PLTR"", ""close"", A223), 2, 2), """")"),179.01)</f>
        <v>179.01</v>
      </c>
      <c r="H223" s="10" t="b">
        <f t="shared" si="1"/>
        <v>1</v>
      </c>
      <c r="I223" s="10" t="b">
        <f t="shared" si="2"/>
        <v>1</v>
      </c>
      <c r="J223" s="2" t="b">
        <f t="shared" si="3"/>
        <v>0</v>
      </c>
    </row>
    <row r="224">
      <c r="A224" s="8">
        <v>46248.0</v>
      </c>
      <c r="B224" s="9">
        <v>108.859</v>
      </c>
      <c r="C224" s="9">
        <v>149.408</v>
      </c>
      <c r="D224" s="9">
        <v>163.521</v>
      </c>
      <c r="E224" s="9">
        <v>179.471</v>
      </c>
      <c r="F224" s="9">
        <v>198.058</v>
      </c>
      <c r="G224" s="10">
        <f>IFERROR(__xludf.DUMMYFUNCTION("IFERROR(INDEX(GOOGLEFINANCE(""PLTR"", ""close"", A224), 2, 2), """")"),174.04)</f>
        <v>174.04</v>
      </c>
      <c r="H224" s="10" t="b">
        <f t="shared" si="1"/>
        <v>1</v>
      </c>
      <c r="I224" s="10" t="b">
        <f t="shared" si="2"/>
        <v>1</v>
      </c>
      <c r="J224" s="2" t="b">
        <f t="shared" si="3"/>
        <v>0</v>
      </c>
    </row>
    <row r="225">
      <c r="A225" s="8">
        <v>46251.0</v>
      </c>
      <c r="B225" s="9">
        <v>114.344</v>
      </c>
      <c r="C225" s="9">
        <v>158.645</v>
      </c>
      <c r="D225" s="9">
        <v>175.655</v>
      </c>
      <c r="E225" s="9">
        <v>190.84</v>
      </c>
      <c r="F225" s="9">
        <v>209.969</v>
      </c>
      <c r="G225" s="10">
        <f>IFERROR(__xludf.DUMMYFUNCTION("IFERROR(INDEX(GOOGLEFINANCE(""PLTR"", ""close"", A225), 2, 2), """")"),172.55)</f>
        <v>172.55</v>
      </c>
      <c r="H225" s="10" t="b">
        <f t="shared" si="1"/>
        <v>0</v>
      </c>
      <c r="I225" s="10" t="b">
        <f t="shared" si="2"/>
        <v>1</v>
      </c>
      <c r="J225" s="2" t="b">
        <f t="shared" si="3"/>
        <v>0</v>
      </c>
    </row>
    <row r="226">
      <c r="A226" s="8">
        <v>46252.0</v>
      </c>
      <c r="B226" s="9">
        <v>117.412</v>
      </c>
      <c r="C226" s="9">
        <v>155.069</v>
      </c>
      <c r="D226" s="9">
        <v>170.966</v>
      </c>
      <c r="E226" s="9">
        <v>189.297</v>
      </c>
      <c r="F226" s="9">
        <v>208.624</v>
      </c>
      <c r="G226" s="10">
        <f>IFERROR(__xludf.DUMMYFUNCTION("IFERROR(INDEX(GOOGLEFINANCE(""PLTR"", ""close"", A226), 2, 2), """")"),171.54)</f>
        <v>171.54</v>
      </c>
      <c r="H226" s="10" t="b">
        <f t="shared" si="1"/>
        <v>1</v>
      </c>
      <c r="I226" s="10" t="b">
        <f t="shared" si="2"/>
        <v>1</v>
      </c>
      <c r="J226" s="2" t="b">
        <f t="shared" si="3"/>
        <v>0</v>
      </c>
    </row>
    <row r="227">
      <c r="A227" s="8">
        <v>46253.0</v>
      </c>
      <c r="B227" s="9">
        <v>106.888</v>
      </c>
      <c r="C227" s="9">
        <v>135.632</v>
      </c>
      <c r="D227" s="9">
        <v>149.428</v>
      </c>
      <c r="E227" s="9">
        <v>165.058</v>
      </c>
      <c r="F227" s="9">
        <v>187.755</v>
      </c>
      <c r="G227" s="10">
        <f>IFERROR(__xludf.DUMMYFUNCTION("IFERROR(INDEX(GOOGLEFINANCE(""PLTR"", ""close"", A227), 2, 2), """")"),175.19)</f>
        <v>175.19</v>
      </c>
      <c r="H227" s="10" t="b">
        <f t="shared" si="1"/>
        <v>1</v>
      </c>
      <c r="I227" s="10" t="b">
        <f t="shared" si="2"/>
        <v>1</v>
      </c>
      <c r="J227" s="2" t="b">
        <f t="shared" si="3"/>
        <v>0</v>
      </c>
    </row>
    <row r="228">
      <c r="A228" s="8">
        <v>46254.0</v>
      </c>
      <c r="B228" s="9">
        <v>112.434</v>
      </c>
      <c r="C228" s="9">
        <v>149.573</v>
      </c>
      <c r="D228" s="9">
        <v>162.841</v>
      </c>
      <c r="E228" s="9">
        <v>177.012</v>
      </c>
      <c r="F228" s="9">
        <v>192.302</v>
      </c>
      <c r="G228" s="10">
        <f>IFERROR(__xludf.DUMMYFUNCTION("IFERROR(INDEX(GOOGLEFINANCE(""PLTR"", ""close"", A228), 2, 2), """")"),173.96)</f>
        <v>173.96</v>
      </c>
      <c r="H228" s="10" t="b">
        <f t="shared" si="1"/>
        <v>1</v>
      </c>
      <c r="I228" s="10" t="b">
        <f t="shared" si="2"/>
        <v>1</v>
      </c>
      <c r="J228" s="2" t="b">
        <f t="shared" si="3"/>
        <v>0</v>
      </c>
    </row>
    <row r="229">
      <c r="A229" s="8">
        <v>46255.0</v>
      </c>
      <c r="B229" s="9">
        <v>135.603</v>
      </c>
      <c r="C229" s="9">
        <v>204.306</v>
      </c>
      <c r="D229" s="9">
        <v>223.425</v>
      </c>
      <c r="E229" s="9">
        <v>246.254</v>
      </c>
      <c r="F229" s="9">
        <v>260.322</v>
      </c>
      <c r="G229" s="10">
        <f>IFERROR(__xludf.DUMMYFUNCTION("IFERROR(INDEX(GOOGLEFINANCE(""PLTR"", ""close"", A229), 2, 2), """")"),179.94)</f>
        <v>179.94</v>
      </c>
      <c r="H229" s="10" t="b">
        <f t="shared" si="1"/>
        <v>0</v>
      </c>
      <c r="I229" s="10" t="b">
        <f t="shared" si="2"/>
        <v>1</v>
      </c>
      <c r="J229" s="2" t="b">
        <f t="shared" si="3"/>
        <v>0</v>
      </c>
    </row>
    <row r="230">
      <c r="A230" s="8">
        <v>46258.0</v>
      </c>
      <c r="B230" s="9">
        <v>116.257</v>
      </c>
      <c r="C230" s="9">
        <v>164.971</v>
      </c>
      <c r="D230" s="9">
        <v>182.778</v>
      </c>
      <c r="E230" s="9">
        <v>197.889</v>
      </c>
      <c r="F230" s="9">
        <v>216.514</v>
      </c>
      <c r="G230" s="10">
        <f>IFERROR(__xludf.DUMMYFUNCTION("IFERROR(INDEX(GOOGLEFINANCE(""PLTR"", ""close"", A230), 2, 2), """")"),175.89)</f>
        <v>175.89</v>
      </c>
      <c r="H230" s="10" t="b">
        <f t="shared" si="1"/>
        <v>0</v>
      </c>
      <c r="I230" s="10" t="b">
        <f t="shared" si="2"/>
        <v>1</v>
      </c>
      <c r="J230" s="2" t="b">
        <f t="shared" si="3"/>
        <v>0</v>
      </c>
    </row>
    <row r="231">
      <c r="A231" s="8">
        <v>46259.0</v>
      </c>
      <c r="B231" s="9">
        <v>115.852</v>
      </c>
      <c r="C231" s="9">
        <v>156.486</v>
      </c>
      <c r="D231" s="9">
        <v>169.848</v>
      </c>
      <c r="E231" s="9">
        <v>185.562</v>
      </c>
      <c r="F231" s="9">
        <v>204.727</v>
      </c>
      <c r="G231" s="10">
        <f>IFERROR(__xludf.DUMMYFUNCTION("IFERROR(INDEX(GOOGLEFINANCE(""PLTR"", ""close"", A231), 2, 2), """")"),172.73)</f>
        <v>172.73</v>
      </c>
      <c r="H231" s="10" t="b">
        <f t="shared" si="1"/>
        <v>1</v>
      </c>
      <c r="I231" s="10" t="b">
        <f t="shared" si="2"/>
        <v>1</v>
      </c>
      <c r="J231" s="2" t="b">
        <f t="shared" si="3"/>
        <v>0</v>
      </c>
    </row>
    <row r="232">
      <c r="A232" s="8">
        <v>46260.0</v>
      </c>
      <c r="B232" s="9">
        <v>110.932</v>
      </c>
      <c r="C232" s="9">
        <v>145.899</v>
      </c>
      <c r="D232" s="9">
        <v>159.589</v>
      </c>
      <c r="E232" s="9">
        <v>173.137</v>
      </c>
      <c r="F232" s="9">
        <v>190.512</v>
      </c>
      <c r="G232" s="10">
        <f>IFERROR(__xludf.DUMMYFUNCTION("IFERROR(INDEX(GOOGLEFINANCE(""PLTR"", ""close"", A232), 2, 2), """")"),177.5)</f>
        <v>177.5</v>
      </c>
      <c r="H232" s="10" t="b">
        <f t="shared" si="1"/>
        <v>1</v>
      </c>
      <c r="I232" s="10" t="b">
        <f t="shared" si="2"/>
        <v>1</v>
      </c>
      <c r="J232" s="2" t="b">
        <f t="shared" si="3"/>
        <v>0</v>
      </c>
    </row>
    <row r="233">
      <c r="A233" s="8">
        <v>46261.0</v>
      </c>
      <c r="B233" s="9">
        <v>109.189</v>
      </c>
      <c r="C233" s="9">
        <v>156.097</v>
      </c>
      <c r="D233" s="9">
        <v>170.219</v>
      </c>
      <c r="E233" s="9">
        <v>186.304</v>
      </c>
      <c r="F233" s="9">
        <v>205.198</v>
      </c>
      <c r="G233" s="10">
        <f>IFERROR(__xludf.DUMMYFUNCTION("IFERROR(INDEX(GOOGLEFINANCE(""PLTR"", ""close"", A233), 2, 2), """")"),185.93)</f>
        <v>185.93</v>
      </c>
      <c r="H233" s="10" t="b">
        <f t="shared" si="1"/>
        <v>1</v>
      </c>
      <c r="I233" s="10" t="b">
        <f t="shared" si="2"/>
        <v>1</v>
      </c>
      <c r="J233" s="2" t="b">
        <f t="shared" si="3"/>
        <v>0</v>
      </c>
    </row>
    <row r="234">
      <c r="A234" s="8">
        <v>46262.0</v>
      </c>
      <c r="B234" s="9">
        <v>110.283</v>
      </c>
      <c r="C234" s="9">
        <v>158.869</v>
      </c>
      <c r="D234" s="9">
        <v>173.294</v>
      </c>
      <c r="E234" s="9">
        <v>187.788</v>
      </c>
      <c r="F234" s="9">
        <v>208.47</v>
      </c>
      <c r="G234" s="10">
        <f>IFERROR(__xludf.DUMMYFUNCTION("IFERROR(INDEX(GOOGLEFINANCE(""PLTR"", ""close"", A234), 2, 2), """")"),186.29)</f>
        <v>186.29</v>
      </c>
      <c r="H234" s="10" t="b">
        <f t="shared" si="1"/>
        <v>1</v>
      </c>
      <c r="I234" s="10" t="b">
        <f t="shared" si="2"/>
        <v>1</v>
      </c>
      <c r="J234" s="2" t="b">
        <f t="shared" si="3"/>
        <v>0</v>
      </c>
    </row>
    <row r="235">
      <c r="A235" s="8">
        <v>46265.0</v>
      </c>
      <c r="B235" s="9">
        <v>112.265</v>
      </c>
      <c r="C235" s="9">
        <v>158.727</v>
      </c>
      <c r="D235" s="9">
        <v>173.881</v>
      </c>
      <c r="E235" s="9">
        <v>187.211</v>
      </c>
      <c r="F235" s="9">
        <v>206.818</v>
      </c>
      <c r="G235" s="10">
        <f>IFERROR(__xludf.DUMMYFUNCTION("IFERROR(INDEX(GOOGLEFINANCE(""PLTR"", ""close"", A235), 2, 2), """")"),186.38)</f>
        <v>186.38</v>
      </c>
      <c r="H235" s="10" t="b">
        <f t="shared" si="1"/>
        <v>1</v>
      </c>
      <c r="I235" s="10" t="b">
        <f t="shared" si="2"/>
        <v>1</v>
      </c>
      <c r="J235" s="2" t="b">
        <f t="shared" si="3"/>
        <v>0</v>
      </c>
    </row>
    <row r="236">
      <c r="A236" s="8">
        <v>46266.0</v>
      </c>
      <c r="B236" s="9">
        <v>115.578</v>
      </c>
      <c r="C236" s="9">
        <v>156.904</v>
      </c>
      <c r="D236" s="9">
        <v>171.282</v>
      </c>
      <c r="E236" s="9">
        <v>186.786</v>
      </c>
      <c r="F236" s="9">
        <v>206.557</v>
      </c>
      <c r="G236" s="10">
        <f>IFERROR(__xludf.DUMMYFUNCTION("IFERROR(INDEX(GOOGLEFINANCE(""PLTR"", ""close"", A236), 2, 2), """")"),179.92)</f>
        <v>179.92</v>
      </c>
      <c r="H236" s="10" t="b">
        <f t="shared" si="1"/>
        <v>1</v>
      </c>
      <c r="I236" s="10" t="b">
        <f t="shared" si="2"/>
        <v>1</v>
      </c>
      <c r="J236" s="2" t="b">
        <f t="shared" si="3"/>
        <v>0</v>
      </c>
    </row>
    <row r="237">
      <c r="A237" s="8">
        <v>46267.0</v>
      </c>
      <c r="B237" s="9">
        <v>113.517</v>
      </c>
      <c r="C237" s="9">
        <v>146.486</v>
      </c>
      <c r="D237" s="9">
        <v>160.251</v>
      </c>
      <c r="E237" s="9">
        <v>175.516</v>
      </c>
      <c r="F237" s="9">
        <v>197.719</v>
      </c>
      <c r="G237" s="10">
        <f>IFERROR(__xludf.DUMMYFUNCTION("IFERROR(INDEX(GOOGLEFINANCE(""PLTR"", ""close"", A237), 2, 2), """")"),169.46)</f>
        <v>169.46</v>
      </c>
      <c r="H237" s="10" t="b">
        <f t="shared" si="1"/>
        <v>1</v>
      </c>
      <c r="I237" s="10" t="b">
        <f t="shared" si="2"/>
        <v>1</v>
      </c>
      <c r="J237" s="2" t="b">
        <f t="shared" si="3"/>
        <v>0</v>
      </c>
    </row>
    <row r="238">
      <c r="A238" s="8">
        <v>46268.0</v>
      </c>
      <c r="B238" s="9">
        <v>110.693</v>
      </c>
      <c r="C238" s="9">
        <v>155.141</v>
      </c>
      <c r="D238" s="9">
        <v>168.949</v>
      </c>
      <c r="E238" s="9">
        <v>184.022</v>
      </c>
      <c r="F238" s="9">
        <v>201.961</v>
      </c>
      <c r="G238" s="10" t="str">
        <f>IFERROR(__xludf.DUMMYFUNCTION("IFERROR(INDEX(GOOGLEFINANCE(""PLTR"", ""close"", A238), 2, 2), """")"),"")</f>
        <v/>
      </c>
      <c r="H238" s="10" t="str">
        <f t="shared" si="1"/>
        <v/>
      </c>
      <c r="I238" s="10" t="str">
        <f t="shared" si="2"/>
        <v/>
      </c>
      <c r="J238" s="2" t="str">
        <f t="shared" si="3"/>
        <v/>
      </c>
    </row>
    <row r="239">
      <c r="A239" s="8">
        <v>46269.0</v>
      </c>
      <c r="B239" s="9">
        <v>112.862</v>
      </c>
      <c r="C239" s="9">
        <v>162.831</v>
      </c>
      <c r="D239" s="9">
        <v>177.87</v>
      </c>
      <c r="E239" s="9">
        <v>192.674</v>
      </c>
      <c r="F239" s="9">
        <v>211.798</v>
      </c>
      <c r="G239" s="10" t="str">
        <f>IFERROR(__xludf.DUMMYFUNCTION("IFERROR(INDEX(GOOGLEFINANCE(""PLTR"", ""close"", A239), 2, 2), """")"),"")</f>
        <v/>
      </c>
      <c r="H239" s="10" t="str">
        <f t="shared" si="1"/>
        <v/>
      </c>
      <c r="I239" s="10" t="str">
        <f t="shared" si="2"/>
        <v/>
      </c>
      <c r="J239" s="2" t="str">
        <f t="shared" si="3"/>
        <v/>
      </c>
    </row>
    <row r="240">
      <c r="A240" s="8">
        <v>46273.0</v>
      </c>
      <c r="B240" s="9">
        <v>118.668</v>
      </c>
      <c r="C240" s="9">
        <v>162.11</v>
      </c>
      <c r="D240" s="9">
        <v>177.482</v>
      </c>
      <c r="E240" s="9">
        <v>193.156</v>
      </c>
      <c r="F240" s="9">
        <v>213.777</v>
      </c>
      <c r="G240" s="10" t="str">
        <f>IFERROR(__xludf.DUMMYFUNCTION("IFERROR(INDEX(GOOGLEFINANCE(""PLTR"", ""close"", A240), 2, 2), """")"),"")</f>
        <v/>
      </c>
      <c r="H240" s="10" t="str">
        <f t="shared" si="1"/>
        <v/>
      </c>
      <c r="I240" s="10" t="str">
        <f t="shared" si="2"/>
        <v/>
      </c>
      <c r="J240" s="2" t="str">
        <f t="shared" si="3"/>
        <v/>
      </c>
    </row>
    <row r="241">
      <c r="A241" s="8">
        <v>46274.0</v>
      </c>
      <c r="B241" s="9">
        <v>118.69</v>
      </c>
      <c r="C241" s="9">
        <v>151.572</v>
      </c>
      <c r="D241" s="9">
        <v>165.384</v>
      </c>
      <c r="E241" s="9">
        <v>179.128</v>
      </c>
      <c r="F241" s="9">
        <v>199.131</v>
      </c>
      <c r="G241" s="10" t="str">
        <f>IFERROR(__xludf.DUMMYFUNCTION("IFERROR(INDEX(GOOGLEFINANCE(""PLTR"", ""close"", A241), 2, 2), """")"),"")</f>
        <v/>
      </c>
      <c r="H241" s="10" t="str">
        <f t="shared" si="1"/>
        <v/>
      </c>
      <c r="I241" s="10" t="str">
        <f t="shared" si="2"/>
        <v/>
      </c>
      <c r="J241" s="2" t="str">
        <f t="shared" si="3"/>
        <v/>
      </c>
    </row>
    <row r="242">
      <c r="A242" s="8">
        <v>46275.0</v>
      </c>
      <c r="B242" s="9">
        <v>115.013</v>
      </c>
      <c r="C242" s="9">
        <v>161.554</v>
      </c>
      <c r="D242" s="9">
        <v>175.833</v>
      </c>
      <c r="E242" s="9">
        <v>190.168</v>
      </c>
      <c r="F242" s="9">
        <v>209.371</v>
      </c>
      <c r="G242" s="10" t="str">
        <f>IFERROR(__xludf.DUMMYFUNCTION("IFERROR(INDEX(GOOGLEFINANCE(""PLTR"", ""close"", A242), 2, 2), """")"),"")</f>
        <v/>
      </c>
      <c r="H242" s="10" t="str">
        <f t="shared" si="1"/>
        <v/>
      </c>
      <c r="I242" s="10" t="str">
        <f t="shared" si="2"/>
        <v/>
      </c>
      <c r="J242" s="2" t="str">
        <f t="shared" si="3"/>
        <v/>
      </c>
    </row>
    <row r="243">
      <c r="A243" s="8">
        <v>46276.0</v>
      </c>
      <c r="B243" s="9">
        <v>114.296</v>
      </c>
      <c r="C243" s="9">
        <v>165.73</v>
      </c>
      <c r="D243" s="9">
        <v>180.537</v>
      </c>
      <c r="E243" s="9">
        <v>196.294</v>
      </c>
      <c r="F243" s="9">
        <v>216.552</v>
      </c>
      <c r="G243" s="10" t="str">
        <f>IFERROR(__xludf.DUMMYFUNCTION("IFERROR(INDEX(GOOGLEFINANCE(""PLTR"", ""close"", A243), 2, 2), """")"),"")</f>
        <v/>
      </c>
      <c r="H243" s="10" t="str">
        <f t="shared" si="1"/>
        <v/>
      </c>
      <c r="I243" s="10" t="str">
        <f t="shared" si="2"/>
        <v/>
      </c>
      <c r="J243" s="2" t="str">
        <f t="shared" si="3"/>
        <v/>
      </c>
    </row>
    <row r="244">
      <c r="A244" s="8">
        <v>46279.0</v>
      </c>
      <c r="B244" s="9">
        <v>119.345</v>
      </c>
      <c r="C244" s="9">
        <v>170.648</v>
      </c>
      <c r="D244" s="9">
        <v>186.14</v>
      </c>
      <c r="E244" s="9">
        <v>201.194</v>
      </c>
      <c r="F244" s="9">
        <v>220.18</v>
      </c>
      <c r="G244" s="10" t="str">
        <f>IFERROR(__xludf.DUMMYFUNCTION("IFERROR(INDEX(GOOGLEFINANCE(""PLTR"", ""close"", A244), 2, 2), """")"),"")</f>
        <v/>
      </c>
      <c r="H244" s="10" t="str">
        <f t="shared" si="1"/>
        <v/>
      </c>
      <c r="I244" s="10" t="str">
        <f t="shared" si="2"/>
        <v/>
      </c>
      <c r="J244" s="2" t="str">
        <f t="shared" si="3"/>
        <v/>
      </c>
    </row>
    <row r="245">
      <c r="A245" s="8">
        <v>46280.0</v>
      </c>
      <c r="B245" s="9">
        <v>117.97</v>
      </c>
      <c r="C245" s="9">
        <v>167.404</v>
      </c>
      <c r="D245" s="9">
        <v>182.118</v>
      </c>
      <c r="E245" s="9">
        <v>198.087</v>
      </c>
      <c r="F245" s="9">
        <v>217.474</v>
      </c>
      <c r="G245" s="10" t="str">
        <f>IFERROR(__xludf.DUMMYFUNCTION("IFERROR(INDEX(GOOGLEFINANCE(""PLTR"", ""close"", A245), 2, 2), """")"),"")</f>
        <v/>
      </c>
      <c r="H245" s="10" t="str">
        <f t="shared" si="1"/>
        <v/>
      </c>
      <c r="I245" s="10" t="str">
        <f t="shared" si="2"/>
        <v/>
      </c>
      <c r="J245" s="2" t="str">
        <f t="shared" si="3"/>
        <v/>
      </c>
    </row>
    <row r="246">
      <c r="A246" s="8">
        <v>46281.0</v>
      </c>
      <c r="B246" s="9">
        <v>128.129</v>
      </c>
      <c r="C246" s="9">
        <v>177.582</v>
      </c>
      <c r="D246" s="9">
        <v>198.99</v>
      </c>
      <c r="E246" s="9">
        <v>213.756</v>
      </c>
      <c r="F246" s="9">
        <v>235.776</v>
      </c>
      <c r="G246" s="10" t="str">
        <f>IFERROR(__xludf.DUMMYFUNCTION("IFERROR(INDEX(GOOGLEFINANCE(""PLTR"", ""close"", A246), 2, 2), """")"),"")</f>
        <v/>
      </c>
      <c r="H246" s="10" t="str">
        <f t="shared" si="1"/>
        <v/>
      </c>
      <c r="I246" s="10" t="str">
        <f t="shared" si="2"/>
        <v/>
      </c>
      <c r="J246" s="2" t="str">
        <f t="shared" si="3"/>
        <v/>
      </c>
    </row>
    <row r="247">
      <c r="A247" s="8">
        <v>46282.0</v>
      </c>
      <c r="B247" s="9">
        <v>122.656</v>
      </c>
      <c r="C247" s="9">
        <v>185.718</v>
      </c>
      <c r="D247" s="9">
        <v>204.837</v>
      </c>
      <c r="E247" s="9">
        <v>221.581</v>
      </c>
      <c r="F247" s="9">
        <v>245.855</v>
      </c>
      <c r="G247" s="10" t="str">
        <f>IFERROR(__xludf.DUMMYFUNCTION("IFERROR(INDEX(GOOGLEFINANCE(""PLTR"", ""close"", A247), 2, 2), """")"),"")</f>
        <v/>
      </c>
      <c r="H247" s="10" t="str">
        <f t="shared" si="1"/>
        <v/>
      </c>
      <c r="I247" s="10" t="str">
        <f t="shared" si="2"/>
        <v/>
      </c>
      <c r="J247" s="2" t="str">
        <f t="shared" si="3"/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  <c r="F1" s="3" t="s">
        <v>5</v>
      </c>
      <c r="G1" s="1" t="s">
        <v>8</v>
      </c>
      <c r="H1" s="1" t="s">
        <v>9</v>
      </c>
      <c r="I1" s="1" t="s">
        <v>10</v>
      </c>
      <c r="J1" s="1" t="s">
        <v>11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46135.0</v>
      </c>
      <c r="B2" s="6">
        <v>175.711</v>
      </c>
      <c r="C2" s="6">
        <v>314.84</v>
      </c>
      <c r="D2" s="6">
        <v>347.831</v>
      </c>
      <c r="E2" s="6">
        <v>368.511</v>
      </c>
      <c r="F2" s="6">
        <v>395.276</v>
      </c>
      <c r="G2" s="10">
        <f>IFERROR(__xludf.DUMMYFUNCTION("IFERROR(INDEX(GOOGLEFINANCE(""GOOGL"", ""close"", A2), 2, 2), """")"),338.89)</f>
        <v>338.89</v>
      </c>
      <c r="H2" s="10" t="b">
        <f t="shared" ref="H2:H13" si="1">IF(OR(G2="", D2=""), "", G2 &gt;= D2)</f>
        <v>0</v>
      </c>
      <c r="I2" s="10" t="b">
        <f t="shared" ref="I2:I13" si="2">IF(OR(G2="", C2=""), "", G2 &gt;= C2)</f>
        <v>1</v>
      </c>
      <c r="J2" s="2" t="b">
        <f t="shared" ref="J2:J13" si="3">IF(OR(G2="", E2=""), "", G2 &gt;= E2)</f>
        <v>0</v>
      </c>
      <c r="L2" s="1"/>
      <c r="M2" s="7"/>
      <c r="N2" s="2"/>
      <c r="O2" s="7"/>
      <c r="P2" s="1"/>
      <c r="Q2" s="7"/>
      <c r="R2" s="7"/>
      <c r="S2" s="7"/>
      <c r="T2" s="7"/>
      <c r="U2" s="7"/>
      <c r="V2" s="7"/>
      <c r="W2" s="7"/>
      <c r="X2" s="7"/>
      <c r="Y2" s="7"/>
    </row>
    <row r="3">
      <c r="A3" s="4">
        <v>46136.0</v>
      </c>
      <c r="B3" s="6">
        <v>294.786</v>
      </c>
      <c r="C3" s="6">
        <v>325.99</v>
      </c>
      <c r="D3" s="6">
        <v>350.582</v>
      </c>
      <c r="E3" s="6">
        <v>375.852</v>
      </c>
      <c r="F3" s="6">
        <v>406.927</v>
      </c>
      <c r="G3" s="10">
        <f>IFERROR(__xludf.DUMMYFUNCTION("IFERROR(INDEX(GOOGLEFINANCE(""GOOGL"", ""close"", A3), 2, 2), """")"),344.4)</f>
        <v>344.4</v>
      </c>
      <c r="H3" s="10" t="b">
        <f t="shared" si="1"/>
        <v>0</v>
      </c>
      <c r="I3" s="10" t="b">
        <f t="shared" si="2"/>
        <v>1</v>
      </c>
      <c r="J3" s="2" t="b">
        <f t="shared" si="3"/>
        <v>0</v>
      </c>
      <c r="L3" s="1"/>
      <c r="M3" s="7"/>
      <c r="N3" s="2"/>
      <c r="O3" s="7"/>
      <c r="P3" s="1"/>
      <c r="Q3" s="7"/>
      <c r="R3" s="7"/>
      <c r="S3" s="7"/>
      <c r="T3" s="7"/>
      <c r="U3" s="7"/>
      <c r="V3" s="7"/>
      <c r="W3" s="7"/>
      <c r="X3" s="7"/>
      <c r="Y3" s="7"/>
    </row>
    <row r="4">
      <c r="A4" s="4">
        <v>46139.0</v>
      </c>
      <c r="B4" s="6">
        <v>281.933</v>
      </c>
      <c r="C4" s="6">
        <v>322.824</v>
      </c>
      <c r="D4" s="6">
        <v>348.19</v>
      </c>
      <c r="E4" s="6">
        <v>385.605</v>
      </c>
      <c r="F4" s="6">
        <v>459.423</v>
      </c>
      <c r="G4" s="10">
        <f>IFERROR(__xludf.DUMMYFUNCTION("IFERROR(INDEX(GOOGLEFINANCE(""GOOGL"", ""close"", A4), 2, 2), """")"),350.34)</f>
        <v>350.34</v>
      </c>
      <c r="H4" s="10" t="b">
        <f t="shared" si="1"/>
        <v>1</v>
      </c>
      <c r="I4" s="10" t="b">
        <f t="shared" si="2"/>
        <v>1</v>
      </c>
      <c r="J4" s="2" t="b">
        <f t="shared" si="3"/>
        <v>0</v>
      </c>
      <c r="L4" s="1"/>
      <c r="M4" s="7"/>
      <c r="N4" s="2"/>
      <c r="O4" s="7"/>
      <c r="P4" s="1"/>
      <c r="Q4" s="7"/>
      <c r="R4" s="7"/>
      <c r="S4" s="7"/>
      <c r="T4" s="7"/>
      <c r="U4" s="7"/>
      <c r="V4" s="7"/>
      <c r="W4" s="7"/>
      <c r="X4" s="7"/>
      <c r="Y4" s="7"/>
    </row>
    <row r="5">
      <c r="A5" s="4">
        <v>46140.0</v>
      </c>
      <c r="B5" s="6">
        <v>280.798</v>
      </c>
      <c r="C5" s="6">
        <v>323.947</v>
      </c>
      <c r="D5" s="6">
        <v>350.95</v>
      </c>
      <c r="E5" s="6">
        <v>370.324</v>
      </c>
      <c r="F5" s="6">
        <v>392.381</v>
      </c>
      <c r="G5" s="10">
        <f>IFERROR(__xludf.DUMMYFUNCTION("IFERROR(INDEX(GOOGLEFINANCE(""GOOGL"", ""close"", A5), 2, 2), """")"),349.78)</f>
        <v>349.78</v>
      </c>
      <c r="H5" s="10" t="b">
        <f t="shared" si="1"/>
        <v>0</v>
      </c>
      <c r="I5" s="10" t="b">
        <f t="shared" si="2"/>
        <v>1</v>
      </c>
      <c r="J5" s="2" t="b">
        <f t="shared" si="3"/>
        <v>0</v>
      </c>
      <c r="L5" s="1"/>
      <c r="M5" s="7"/>
      <c r="N5" s="2"/>
      <c r="O5" s="7"/>
      <c r="P5" s="1"/>
      <c r="Q5" s="7"/>
      <c r="R5" s="7"/>
      <c r="S5" s="7"/>
      <c r="T5" s="7"/>
      <c r="U5" s="7"/>
      <c r="V5" s="7"/>
      <c r="W5" s="7"/>
      <c r="X5" s="7"/>
      <c r="Y5" s="7"/>
    </row>
    <row r="6">
      <c r="A6" s="4">
        <v>46141.0</v>
      </c>
      <c r="B6" s="6">
        <v>261.842</v>
      </c>
      <c r="C6" s="6">
        <v>326.846</v>
      </c>
      <c r="D6" s="6">
        <v>349.2</v>
      </c>
      <c r="E6" s="6">
        <v>377.458</v>
      </c>
      <c r="F6" s="6">
        <v>404.359</v>
      </c>
      <c r="G6" s="10">
        <f>IFERROR(__xludf.DUMMYFUNCTION("IFERROR(INDEX(GOOGLEFINANCE(""GOOGL"", ""close"", A6), 2, 2), """")"),349.94)</f>
        <v>349.94</v>
      </c>
      <c r="H6" s="10" t="b">
        <f t="shared" si="1"/>
        <v>1</v>
      </c>
      <c r="I6" s="10" t="b">
        <f t="shared" si="2"/>
        <v>1</v>
      </c>
      <c r="J6" s="2" t="b">
        <f t="shared" si="3"/>
        <v>0</v>
      </c>
      <c r="L6" s="1"/>
      <c r="M6" s="7"/>
      <c r="N6" s="1"/>
      <c r="O6" s="1"/>
      <c r="P6" s="1"/>
      <c r="Q6" s="7"/>
      <c r="R6" s="7"/>
      <c r="S6" s="7"/>
      <c r="T6" s="7"/>
      <c r="U6" s="7"/>
      <c r="V6" s="7"/>
      <c r="W6" s="7"/>
      <c r="X6" s="7"/>
      <c r="Y6" s="7"/>
    </row>
    <row r="7">
      <c r="A7" s="4">
        <v>46142.0</v>
      </c>
      <c r="B7" s="6">
        <v>292.544</v>
      </c>
      <c r="C7" s="6">
        <v>318.003</v>
      </c>
      <c r="D7" s="6">
        <v>349.96</v>
      </c>
      <c r="E7" s="6">
        <v>372.173</v>
      </c>
      <c r="F7" s="6">
        <v>404.798</v>
      </c>
      <c r="G7" s="10">
        <f>IFERROR(__xludf.DUMMYFUNCTION("IFERROR(INDEX(GOOGLEFINANCE(""GOOGL"", ""close"", A7), 2, 2), """")"),384.8)</f>
        <v>384.8</v>
      </c>
      <c r="H7" s="10" t="b">
        <f t="shared" si="1"/>
        <v>1</v>
      </c>
      <c r="I7" s="10" t="b">
        <f t="shared" si="2"/>
        <v>1</v>
      </c>
      <c r="J7" s="2" t="b">
        <f t="shared" si="3"/>
        <v>1</v>
      </c>
      <c r="K7" s="1"/>
      <c r="L7" s="1"/>
      <c r="M7" s="7"/>
      <c r="N7" s="2"/>
      <c r="O7" s="7"/>
      <c r="P7" s="1"/>
      <c r="Q7" s="7"/>
      <c r="R7" s="7"/>
      <c r="S7" s="7"/>
      <c r="T7" s="7"/>
      <c r="U7" s="7"/>
      <c r="V7" s="7"/>
      <c r="W7" s="7"/>
      <c r="X7" s="7"/>
      <c r="Y7" s="7"/>
    </row>
    <row r="8">
      <c r="A8" s="4">
        <v>46143.0</v>
      </c>
      <c r="B8" s="6">
        <v>294.668</v>
      </c>
      <c r="C8" s="6">
        <v>331.012</v>
      </c>
      <c r="D8" s="6">
        <v>352.332</v>
      </c>
      <c r="E8" s="6">
        <v>381.263</v>
      </c>
      <c r="F8" s="6">
        <v>495.878</v>
      </c>
      <c r="G8" s="10">
        <f>IFERROR(__xludf.DUMMYFUNCTION("IFERROR(INDEX(GOOGLEFINANCE(""GOOGL"", ""close"", A8), 2, 2), """")"),385.69)</f>
        <v>385.69</v>
      </c>
      <c r="H8" s="10" t="b">
        <f t="shared" si="1"/>
        <v>1</v>
      </c>
      <c r="I8" s="10" t="b">
        <f t="shared" si="2"/>
        <v>1</v>
      </c>
      <c r="J8" s="2" t="b">
        <f t="shared" si="3"/>
        <v>1</v>
      </c>
    </row>
    <row r="9">
      <c r="A9" s="4">
        <v>46146.0</v>
      </c>
      <c r="B9" s="6">
        <v>301.018</v>
      </c>
      <c r="C9" s="6">
        <v>317.331</v>
      </c>
      <c r="D9" s="6">
        <v>348.824</v>
      </c>
      <c r="E9" s="6">
        <v>373.393</v>
      </c>
      <c r="F9" s="6">
        <v>446.881</v>
      </c>
      <c r="G9" s="10">
        <f>IFERROR(__xludf.DUMMYFUNCTION("IFERROR(INDEX(GOOGLEFINANCE(""GOOGL"", ""close"", A9), 2, 2), """")"),383.25)</f>
        <v>383.25</v>
      </c>
      <c r="H9" s="10" t="b">
        <f t="shared" si="1"/>
        <v>1</v>
      </c>
      <c r="I9" s="10" t="b">
        <f t="shared" si="2"/>
        <v>1</v>
      </c>
      <c r="J9" s="2" t="b">
        <f t="shared" si="3"/>
        <v>1</v>
      </c>
    </row>
    <row r="10">
      <c r="A10" s="4">
        <v>46147.0</v>
      </c>
      <c r="B10" s="6">
        <v>263.852</v>
      </c>
      <c r="C10" s="6">
        <v>319.743</v>
      </c>
      <c r="D10" s="6">
        <v>349.839</v>
      </c>
      <c r="E10" s="6">
        <v>367.183</v>
      </c>
      <c r="F10" s="6">
        <v>426.599</v>
      </c>
      <c r="G10" s="10">
        <f>IFERROR(__xludf.DUMMYFUNCTION("IFERROR(INDEX(GOOGLEFINANCE(""GOOGL"", ""close"", A10), 2, 2), """")"),388.43)</f>
        <v>388.43</v>
      </c>
      <c r="H10" s="10" t="b">
        <f t="shared" si="1"/>
        <v>1</v>
      </c>
      <c r="I10" s="10" t="b">
        <f t="shared" si="2"/>
        <v>1</v>
      </c>
      <c r="J10" s="2" t="b">
        <f t="shared" si="3"/>
        <v>1</v>
      </c>
    </row>
    <row r="11">
      <c r="A11" s="4">
        <v>46148.0</v>
      </c>
      <c r="B11" s="6">
        <v>237.814</v>
      </c>
      <c r="C11" s="6">
        <v>321.691</v>
      </c>
      <c r="D11" s="6">
        <v>350.356</v>
      </c>
      <c r="E11" s="6">
        <v>380.805</v>
      </c>
      <c r="F11" s="6">
        <v>444.569</v>
      </c>
      <c r="G11" s="10">
        <f>IFERROR(__xludf.DUMMYFUNCTION("IFERROR(INDEX(GOOGLEFINANCE(""GOOGL"", ""close"", A11), 2, 2), """")"),398.04)</f>
        <v>398.04</v>
      </c>
      <c r="H11" s="10" t="b">
        <f t="shared" si="1"/>
        <v>1</v>
      </c>
      <c r="I11" s="10" t="b">
        <f t="shared" si="2"/>
        <v>1</v>
      </c>
      <c r="J11" s="2" t="b">
        <f t="shared" si="3"/>
        <v>1</v>
      </c>
    </row>
    <row r="12">
      <c r="A12" s="4">
        <v>46149.0</v>
      </c>
      <c r="B12" s="6">
        <v>271.649</v>
      </c>
      <c r="C12" s="6">
        <v>330.02</v>
      </c>
      <c r="D12" s="6">
        <v>351.323</v>
      </c>
      <c r="E12" s="6">
        <v>375.239</v>
      </c>
      <c r="F12" s="6">
        <v>399.471</v>
      </c>
      <c r="G12" s="10">
        <f>IFERROR(__xludf.DUMMYFUNCTION("IFERROR(INDEX(GOOGLEFINANCE(""GOOGL"", ""close"", A12), 2, 2), """")"),397.99)</f>
        <v>397.99</v>
      </c>
      <c r="H12" s="10" t="b">
        <f t="shared" si="1"/>
        <v>1</v>
      </c>
      <c r="I12" s="10" t="b">
        <f t="shared" si="2"/>
        <v>1</v>
      </c>
      <c r="J12" s="2" t="b">
        <f t="shared" si="3"/>
        <v>1</v>
      </c>
    </row>
    <row r="13">
      <c r="A13" s="4">
        <v>46150.0</v>
      </c>
      <c r="B13" s="6">
        <v>277.296</v>
      </c>
      <c r="C13" s="6">
        <v>326.973</v>
      </c>
      <c r="D13" s="6">
        <v>347.476</v>
      </c>
      <c r="E13" s="6">
        <v>376.215</v>
      </c>
      <c r="F13" s="6">
        <v>470.846</v>
      </c>
      <c r="G13" s="10">
        <f>IFERROR(__xludf.DUMMYFUNCTION("IFERROR(INDEX(GOOGLEFINANCE(""GOOGL"", ""close"", A13), 2, 2), """")"),400.8)</f>
        <v>400.8</v>
      </c>
      <c r="H13" s="10" t="b">
        <f t="shared" si="1"/>
        <v>1</v>
      </c>
      <c r="I13" s="10" t="b">
        <f t="shared" si="2"/>
        <v>1</v>
      </c>
      <c r="J13" s="2" t="b">
        <f t="shared" si="3"/>
        <v>1</v>
      </c>
    </row>
    <row r="14">
      <c r="J14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1" t="s">
        <v>8</v>
      </c>
      <c r="F1" s="1" t="s">
        <v>9</v>
      </c>
      <c r="G1" s="1" t="s">
        <v>10</v>
      </c>
      <c r="H1" s="1" t="s">
        <v>11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>
        <v>46120.0</v>
      </c>
      <c r="B2" s="6">
        <v>346.782</v>
      </c>
      <c r="C2" s="6">
        <v>379.294</v>
      </c>
      <c r="D2" s="6">
        <v>415.07</v>
      </c>
      <c r="E2" s="10">
        <f>IFERROR(__xludf.DUMMYFUNCTION("IFERROR(INDEX(GOOGLEFINANCE(""MSFT"", ""close"", A2), 2, 2), """")"),374.33)</f>
        <v>374.33</v>
      </c>
      <c r="F2" s="10" t="b">
        <f t="shared" ref="F2:F179" si="1">IF(OR(E2="", C2=""), "", E2 &gt;= C2)</f>
        <v>0</v>
      </c>
      <c r="G2" s="10" t="b">
        <f t="shared" ref="G2:G179" si="2">IF(OR(E2="", B2=""), "", E2 &gt;= B2)</f>
        <v>1</v>
      </c>
      <c r="H2" s="2" t="b">
        <f t="shared" ref="H2:H179" si="3">IF(OR(E2="", D2=""), "", E2 &gt;= D2)</f>
        <v>0</v>
      </c>
      <c r="J2" s="2"/>
      <c r="L2" s="1"/>
      <c r="M2" s="7"/>
      <c r="N2" s="2"/>
      <c r="O2" s="7"/>
      <c r="P2" s="1"/>
      <c r="Q2" s="7"/>
      <c r="R2" s="7"/>
      <c r="S2" s="7"/>
      <c r="T2" s="7"/>
      <c r="U2" s="7"/>
      <c r="V2" s="7"/>
      <c r="W2" s="7"/>
      <c r="X2" s="7"/>
      <c r="Y2" s="7"/>
    </row>
    <row r="3">
      <c r="A3" s="4">
        <v>46121.0</v>
      </c>
      <c r="B3" s="6">
        <v>327.482</v>
      </c>
      <c r="C3" s="6">
        <v>385.662</v>
      </c>
      <c r="D3" s="6">
        <v>418.222</v>
      </c>
      <c r="E3" s="10">
        <f>IFERROR(__xludf.DUMMYFUNCTION("IFERROR(INDEX(GOOGLEFINANCE(""MSFT"", ""close"", A3), 2, 2), """")"),373.07)</f>
        <v>373.07</v>
      </c>
      <c r="F3" s="10" t="b">
        <f t="shared" si="1"/>
        <v>0</v>
      </c>
      <c r="G3" s="10" t="b">
        <f t="shared" si="2"/>
        <v>1</v>
      </c>
      <c r="H3" s="2" t="b">
        <f t="shared" si="3"/>
        <v>0</v>
      </c>
      <c r="J3" s="2"/>
      <c r="L3" s="1"/>
      <c r="M3" s="7"/>
      <c r="N3" s="2"/>
      <c r="O3" s="7"/>
      <c r="P3" s="1"/>
      <c r="Q3" s="7"/>
      <c r="R3" s="7"/>
      <c r="S3" s="7"/>
      <c r="T3" s="7"/>
      <c r="U3" s="7"/>
      <c r="V3" s="7"/>
      <c r="W3" s="7"/>
      <c r="X3" s="7"/>
      <c r="Y3" s="7"/>
    </row>
    <row r="4">
      <c r="A4" s="4">
        <v>46122.0</v>
      </c>
      <c r="B4" s="6">
        <v>218.743</v>
      </c>
      <c r="C4" s="6">
        <v>380.656</v>
      </c>
      <c r="D4" s="6">
        <v>423.211</v>
      </c>
      <c r="E4" s="10">
        <f>IFERROR(__xludf.DUMMYFUNCTION("IFERROR(INDEX(GOOGLEFINANCE(""MSFT"", ""close"", A4), 2, 2), """")"),370.87)</f>
        <v>370.87</v>
      </c>
      <c r="F4" s="10" t="b">
        <f t="shared" si="1"/>
        <v>0</v>
      </c>
      <c r="G4" s="10" t="b">
        <f t="shared" si="2"/>
        <v>1</v>
      </c>
      <c r="H4" s="2" t="b">
        <f t="shared" si="3"/>
        <v>0</v>
      </c>
      <c r="J4" s="2"/>
      <c r="L4" s="1"/>
      <c r="M4" s="7"/>
      <c r="N4" s="2"/>
      <c r="O4" s="7"/>
    </row>
    <row r="5">
      <c r="A5" s="4">
        <v>46125.0</v>
      </c>
      <c r="B5" s="6">
        <v>326.241</v>
      </c>
      <c r="C5" s="6">
        <v>385.122</v>
      </c>
      <c r="D5" s="6">
        <v>417.299</v>
      </c>
      <c r="E5" s="10">
        <f>IFERROR(__xludf.DUMMYFUNCTION("IFERROR(INDEX(GOOGLEFINANCE(""MSFT"", ""close"", A5), 2, 2), """")"),384.37)</f>
        <v>384.37</v>
      </c>
      <c r="F5" s="10" t="b">
        <f t="shared" si="1"/>
        <v>0</v>
      </c>
      <c r="G5" s="10" t="b">
        <f t="shared" si="2"/>
        <v>1</v>
      </c>
      <c r="H5" s="2" t="b">
        <f t="shared" si="3"/>
        <v>0</v>
      </c>
      <c r="J5" s="2"/>
      <c r="L5" s="1"/>
      <c r="M5" s="7"/>
      <c r="N5" s="2"/>
      <c r="O5" s="7"/>
    </row>
    <row r="6">
      <c r="A6" s="4">
        <v>46126.0</v>
      </c>
      <c r="B6" s="6">
        <v>337.409</v>
      </c>
      <c r="C6" s="6">
        <v>371.504</v>
      </c>
      <c r="D6" s="6">
        <v>410.997</v>
      </c>
      <c r="E6" s="10">
        <f>IFERROR(__xludf.DUMMYFUNCTION("IFERROR(INDEX(GOOGLEFINANCE(""MSFT"", ""close"", A6), 2, 2), """")"),393.11)</f>
        <v>393.11</v>
      </c>
      <c r="F6" s="10" t="b">
        <f t="shared" si="1"/>
        <v>1</v>
      </c>
      <c r="G6" s="10" t="b">
        <f t="shared" si="2"/>
        <v>1</v>
      </c>
      <c r="H6" s="2" t="b">
        <f t="shared" si="3"/>
        <v>0</v>
      </c>
      <c r="N6" s="1"/>
      <c r="O6" s="1"/>
    </row>
    <row r="7">
      <c r="A7" s="4">
        <v>46127.0</v>
      </c>
      <c r="B7" s="6">
        <v>333.166</v>
      </c>
      <c r="C7" s="6">
        <v>370.841</v>
      </c>
      <c r="D7" s="6">
        <v>404.853</v>
      </c>
      <c r="E7" s="10">
        <f>IFERROR(__xludf.DUMMYFUNCTION("IFERROR(INDEX(GOOGLEFINANCE(""MSFT"", ""close"", A7), 2, 2), """")"),411.22)</f>
        <v>411.22</v>
      </c>
      <c r="F7" s="10" t="b">
        <f t="shared" si="1"/>
        <v>1</v>
      </c>
      <c r="G7" s="10" t="b">
        <f t="shared" si="2"/>
        <v>1</v>
      </c>
      <c r="H7" s="2" t="b">
        <f t="shared" si="3"/>
        <v>1</v>
      </c>
    </row>
    <row r="8">
      <c r="A8" s="4">
        <v>46128.0</v>
      </c>
      <c r="B8" s="6">
        <v>329.851</v>
      </c>
      <c r="C8" s="6">
        <v>380.568</v>
      </c>
      <c r="D8" s="6">
        <v>415.666</v>
      </c>
      <c r="E8" s="10">
        <f>IFERROR(__xludf.DUMMYFUNCTION("IFERROR(INDEX(GOOGLEFINANCE(""MSFT"", ""close"", A8), 2, 2), """")"),420.26)</f>
        <v>420.26</v>
      </c>
      <c r="F8" s="10" t="b">
        <f t="shared" si="1"/>
        <v>1</v>
      </c>
      <c r="G8" s="10" t="b">
        <f t="shared" si="2"/>
        <v>1</v>
      </c>
      <c r="H8" s="2" t="b">
        <f t="shared" si="3"/>
        <v>1</v>
      </c>
    </row>
    <row r="9">
      <c r="A9" s="4">
        <v>46129.0</v>
      </c>
      <c r="B9" s="6">
        <v>198.398</v>
      </c>
      <c r="C9" s="6">
        <v>358.972</v>
      </c>
      <c r="D9" s="6">
        <v>402.923</v>
      </c>
      <c r="E9" s="10">
        <f>IFERROR(__xludf.DUMMYFUNCTION("IFERROR(INDEX(GOOGLEFINANCE(""MSFT"", ""close"", A9), 2, 2), """")"),422.79)</f>
        <v>422.79</v>
      </c>
      <c r="F9" s="10" t="b">
        <f t="shared" si="1"/>
        <v>1</v>
      </c>
      <c r="G9" s="10" t="b">
        <f t="shared" si="2"/>
        <v>1</v>
      </c>
      <c r="H9" s="2" t="b">
        <f t="shared" si="3"/>
        <v>1</v>
      </c>
    </row>
    <row r="10">
      <c r="A10" s="4">
        <v>46132.0</v>
      </c>
      <c r="B10" s="6">
        <v>328.391</v>
      </c>
      <c r="C10" s="6">
        <v>376.269</v>
      </c>
      <c r="D10" s="6">
        <v>416.929</v>
      </c>
      <c r="E10" s="10">
        <f>IFERROR(__xludf.DUMMYFUNCTION("IFERROR(INDEX(GOOGLEFINANCE(""MSFT"", ""close"", A10), 2, 2), """")"),418.07)</f>
        <v>418.07</v>
      </c>
      <c r="F10" s="10" t="b">
        <f t="shared" si="1"/>
        <v>1</v>
      </c>
      <c r="G10" s="10" t="b">
        <f t="shared" si="2"/>
        <v>1</v>
      </c>
      <c r="H10" s="2" t="b">
        <f t="shared" si="3"/>
        <v>1</v>
      </c>
    </row>
    <row r="11">
      <c r="A11" s="4">
        <v>46133.0</v>
      </c>
      <c r="B11" s="6">
        <v>336.096</v>
      </c>
      <c r="C11" s="6">
        <v>370.176</v>
      </c>
      <c r="D11" s="6">
        <v>407.493</v>
      </c>
      <c r="E11" s="10">
        <f>IFERROR(__xludf.DUMMYFUNCTION("IFERROR(INDEX(GOOGLEFINANCE(""MSFT"", ""close"", A11), 2, 2), """")"),424.16)</f>
        <v>424.16</v>
      </c>
      <c r="F11" s="10" t="b">
        <f t="shared" si="1"/>
        <v>1</v>
      </c>
      <c r="G11" s="10" t="b">
        <f t="shared" si="2"/>
        <v>1</v>
      </c>
      <c r="H11" s="2" t="b">
        <f t="shared" si="3"/>
        <v>1</v>
      </c>
    </row>
    <row r="12">
      <c r="A12" s="4">
        <v>46134.0</v>
      </c>
      <c r="B12" s="6">
        <v>329.74</v>
      </c>
      <c r="C12" s="6">
        <v>375.533</v>
      </c>
      <c r="D12" s="6">
        <v>415.194</v>
      </c>
      <c r="E12" s="10">
        <f>IFERROR(__xludf.DUMMYFUNCTION("IFERROR(INDEX(GOOGLEFINANCE(""MSFT"", ""close"", A12), 2, 2), """")"),432.92)</f>
        <v>432.92</v>
      </c>
      <c r="F12" s="10" t="b">
        <f t="shared" si="1"/>
        <v>1</v>
      </c>
      <c r="G12" s="10" t="b">
        <f t="shared" si="2"/>
        <v>1</v>
      </c>
      <c r="H12" s="2" t="b">
        <f t="shared" si="3"/>
        <v>1</v>
      </c>
    </row>
    <row r="13">
      <c r="A13" s="4">
        <v>46135.0</v>
      </c>
      <c r="B13" s="6">
        <v>322.974</v>
      </c>
      <c r="C13" s="6">
        <v>370.734</v>
      </c>
      <c r="D13" s="6">
        <v>406.88</v>
      </c>
      <c r="E13" s="10">
        <f>IFERROR(__xludf.DUMMYFUNCTION("IFERROR(INDEX(GOOGLEFINANCE(""MSFT"", ""close"", A13), 2, 2), """")"),415.75)</f>
        <v>415.75</v>
      </c>
      <c r="F13" s="10" t="b">
        <f t="shared" si="1"/>
        <v>1</v>
      </c>
      <c r="G13" s="10" t="b">
        <f t="shared" si="2"/>
        <v>1</v>
      </c>
      <c r="H13" s="2" t="b">
        <f t="shared" si="3"/>
        <v>1</v>
      </c>
    </row>
    <row r="14">
      <c r="A14" s="4">
        <v>46136.0</v>
      </c>
      <c r="B14" s="6">
        <v>208.341</v>
      </c>
      <c r="C14" s="6">
        <v>366.985</v>
      </c>
      <c r="D14" s="6">
        <v>412.47</v>
      </c>
      <c r="E14" s="10">
        <f>IFERROR(__xludf.DUMMYFUNCTION("IFERROR(INDEX(GOOGLEFINANCE(""MSFT"", ""close"", A14), 2, 2), """")"),424.62)</f>
        <v>424.62</v>
      </c>
      <c r="F14" s="10" t="b">
        <f t="shared" si="1"/>
        <v>1</v>
      </c>
      <c r="G14" s="10" t="b">
        <f t="shared" si="2"/>
        <v>1</v>
      </c>
      <c r="H14" s="2" t="b">
        <f t="shared" si="3"/>
        <v>1</v>
      </c>
    </row>
    <row r="15">
      <c r="A15" s="4">
        <v>46139.0</v>
      </c>
      <c r="B15" s="6">
        <v>334.256</v>
      </c>
      <c r="C15" s="6">
        <v>399.16</v>
      </c>
      <c r="D15" s="6">
        <v>438.347</v>
      </c>
      <c r="E15" s="10">
        <f>IFERROR(__xludf.DUMMYFUNCTION("IFERROR(INDEX(GOOGLEFINANCE(""MSFT"", ""close"", A15), 2, 2), """")"),424.82)</f>
        <v>424.82</v>
      </c>
      <c r="F15" s="10" t="b">
        <f t="shared" si="1"/>
        <v>1</v>
      </c>
      <c r="G15" s="10" t="b">
        <f t="shared" si="2"/>
        <v>1</v>
      </c>
      <c r="H15" s="2" t="b">
        <f t="shared" si="3"/>
        <v>0</v>
      </c>
    </row>
    <row r="16">
      <c r="A16" s="4">
        <v>46140.0</v>
      </c>
      <c r="B16" s="6">
        <v>358.64</v>
      </c>
      <c r="C16" s="6">
        <v>394.202</v>
      </c>
      <c r="D16" s="6">
        <v>434.903</v>
      </c>
      <c r="E16" s="10">
        <f>IFERROR(__xludf.DUMMYFUNCTION("IFERROR(INDEX(GOOGLEFINANCE(""MSFT"", ""close"", A16), 2, 2), """")"),429.25)</f>
        <v>429.25</v>
      </c>
      <c r="F16" s="10" t="b">
        <f t="shared" si="1"/>
        <v>1</v>
      </c>
      <c r="G16" s="10" t="b">
        <f t="shared" si="2"/>
        <v>1</v>
      </c>
      <c r="H16" s="2" t="b">
        <f t="shared" si="3"/>
        <v>0</v>
      </c>
    </row>
    <row r="17">
      <c r="A17" s="4">
        <v>46141.0</v>
      </c>
      <c r="B17" s="6">
        <v>351.971</v>
      </c>
      <c r="C17" s="6">
        <v>389.469</v>
      </c>
      <c r="D17" s="6">
        <v>425.877</v>
      </c>
      <c r="E17" s="10">
        <f>IFERROR(__xludf.DUMMYFUNCTION("IFERROR(INDEX(GOOGLEFINANCE(""MSFT"", ""close"", A17), 2, 2), """")"),424.46)</f>
        <v>424.46</v>
      </c>
      <c r="F17" s="10" t="b">
        <f t="shared" si="1"/>
        <v>1</v>
      </c>
      <c r="G17" s="10" t="b">
        <f t="shared" si="2"/>
        <v>1</v>
      </c>
      <c r="H17" s="2" t="b">
        <f t="shared" si="3"/>
        <v>0</v>
      </c>
    </row>
    <row r="18">
      <c r="A18" s="4">
        <v>46142.0</v>
      </c>
      <c r="B18" s="6">
        <v>334.73</v>
      </c>
      <c r="C18" s="6">
        <v>393.587</v>
      </c>
      <c r="D18" s="6">
        <v>441.495</v>
      </c>
      <c r="E18" s="10">
        <f>IFERROR(__xludf.DUMMYFUNCTION("IFERROR(INDEX(GOOGLEFINANCE(""MSFT"", ""close"", A18), 2, 2), """")"),407.78)</f>
        <v>407.78</v>
      </c>
      <c r="F18" s="10" t="b">
        <f t="shared" si="1"/>
        <v>1</v>
      </c>
      <c r="G18" s="10" t="b">
        <f t="shared" si="2"/>
        <v>1</v>
      </c>
      <c r="H18" s="2" t="b">
        <f t="shared" si="3"/>
        <v>0</v>
      </c>
    </row>
    <row r="19">
      <c r="A19" s="4">
        <v>46143.0</v>
      </c>
      <c r="B19" s="6">
        <v>214.343</v>
      </c>
      <c r="C19" s="6">
        <v>385.415</v>
      </c>
      <c r="D19" s="6">
        <v>428.964</v>
      </c>
      <c r="E19" s="10">
        <f>IFERROR(__xludf.DUMMYFUNCTION("IFERROR(INDEX(GOOGLEFINANCE(""MSFT"", ""close"", A19), 2, 2), """")"),414.44)</f>
        <v>414.44</v>
      </c>
      <c r="F19" s="10" t="b">
        <f t="shared" si="1"/>
        <v>1</v>
      </c>
      <c r="G19" s="10" t="b">
        <f t="shared" si="2"/>
        <v>1</v>
      </c>
      <c r="H19" s="2" t="b">
        <f t="shared" si="3"/>
        <v>0</v>
      </c>
    </row>
    <row r="20">
      <c r="A20" s="4">
        <v>46146.0</v>
      </c>
      <c r="B20" s="6">
        <v>329.147</v>
      </c>
      <c r="C20" s="6">
        <v>386.581</v>
      </c>
      <c r="D20" s="6">
        <v>429.039</v>
      </c>
      <c r="E20" s="10">
        <f>IFERROR(__xludf.DUMMYFUNCTION("IFERROR(INDEX(GOOGLEFINANCE(""MSFT"", ""close"", A20), 2, 2), """")"),413.62)</f>
        <v>413.62</v>
      </c>
      <c r="F20" s="10" t="b">
        <f t="shared" si="1"/>
        <v>1</v>
      </c>
      <c r="G20" s="10" t="b">
        <f t="shared" si="2"/>
        <v>1</v>
      </c>
      <c r="H20" s="2" t="b">
        <f t="shared" si="3"/>
        <v>0</v>
      </c>
    </row>
    <row r="21">
      <c r="A21" s="4">
        <v>46147.0</v>
      </c>
      <c r="B21" s="6">
        <v>360.048</v>
      </c>
      <c r="C21" s="6">
        <v>403.171</v>
      </c>
      <c r="D21" s="6">
        <v>443.683</v>
      </c>
      <c r="E21" s="10">
        <f>IFERROR(__xludf.DUMMYFUNCTION("IFERROR(INDEX(GOOGLEFINANCE(""MSFT"", ""close"", A21), 2, 2), """")"),411.38)</f>
        <v>411.38</v>
      </c>
      <c r="F21" s="10" t="b">
        <f t="shared" si="1"/>
        <v>1</v>
      </c>
      <c r="G21" s="10" t="b">
        <f t="shared" si="2"/>
        <v>1</v>
      </c>
      <c r="H21" s="2" t="b">
        <f t="shared" si="3"/>
        <v>0</v>
      </c>
    </row>
    <row r="22">
      <c r="A22" s="4">
        <v>46148.0</v>
      </c>
      <c r="B22" s="6">
        <v>343.837</v>
      </c>
      <c r="C22" s="6">
        <v>399.442</v>
      </c>
      <c r="D22" s="6">
        <v>440.235</v>
      </c>
      <c r="E22" s="10">
        <f>IFERROR(__xludf.DUMMYFUNCTION("IFERROR(INDEX(GOOGLEFINANCE(""MSFT"", ""close"", A22), 2, 2), """")"),413.96)</f>
        <v>413.96</v>
      </c>
      <c r="F22" s="10" t="b">
        <f t="shared" si="1"/>
        <v>1</v>
      </c>
      <c r="G22" s="10" t="b">
        <f t="shared" si="2"/>
        <v>1</v>
      </c>
      <c r="H22" s="2" t="b">
        <f t="shared" si="3"/>
        <v>0</v>
      </c>
    </row>
    <row r="23">
      <c r="A23" s="4">
        <v>46149.0</v>
      </c>
      <c r="B23" s="6">
        <v>342.591</v>
      </c>
      <c r="C23" s="6">
        <v>405.255</v>
      </c>
      <c r="D23" s="6">
        <v>449.923</v>
      </c>
      <c r="E23" s="10">
        <f>IFERROR(__xludf.DUMMYFUNCTION("IFERROR(INDEX(GOOGLEFINANCE(""MSFT"", ""close"", A23), 2, 2), """")"),420.77)</f>
        <v>420.77</v>
      </c>
      <c r="F23" s="10" t="b">
        <f t="shared" si="1"/>
        <v>1</v>
      </c>
      <c r="G23" s="10" t="b">
        <f t="shared" si="2"/>
        <v>1</v>
      </c>
      <c r="H23" s="2" t="b">
        <f t="shared" si="3"/>
        <v>0</v>
      </c>
    </row>
    <row r="24">
      <c r="A24" s="4">
        <v>46150.0</v>
      </c>
      <c r="B24" s="6">
        <v>202.782</v>
      </c>
      <c r="C24" s="6">
        <v>386.075</v>
      </c>
      <c r="D24" s="6">
        <v>419.073</v>
      </c>
      <c r="E24" s="10">
        <f>IFERROR(__xludf.DUMMYFUNCTION("IFERROR(INDEX(GOOGLEFINANCE(""MSFT"", ""close"", A24), 2, 2), """")"),415.12)</f>
        <v>415.12</v>
      </c>
      <c r="F24" s="10" t="b">
        <f t="shared" si="1"/>
        <v>1</v>
      </c>
      <c r="G24" s="10" t="b">
        <f t="shared" si="2"/>
        <v>1</v>
      </c>
      <c r="H24" s="2" t="b">
        <f t="shared" si="3"/>
        <v>0</v>
      </c>
    </row>
    <row r="25">
      <c r="A25" s="4">
        <v>46153.0</v>
      </c>
      <c r="B25" s="6">
        <v>338.421</v>
      </c>
      <c r="C25" s="6">
        <v>401.644</v>
      </c>
      <c r="D25" s="6">
        <v>435.004</v>
      </c>
      <c r="E25" s="10">
        <f>IFERROR(__xludf.DUMMYFUNCTION("IFERROR(INDEX(GOOGLEFINANCE(""MSFT"", ""close"", A25), 2, 2), """")"),412.66)</f>
        <v>412.66</v>
      </c>
      <c r="F25" s="10" t="b">
        <f t="shared" si="1"/>
        <v>1</v>
      </c>
      <c r="G25" s="10" t="b">
        <f t="shared" si="2"/>
        <v>1</v>
      </c>
      <c r="H25" s="2" t="b">
        <f t="shared" si="3"/>
        <v>0</v>
      </c>
    </row>
    <row r="26">
      <c r="A26" s="4">
        <v>46154.0</v>
      </c>
      <c r="B26" s="6">
        <v>366.297</v>
      </c>
      <c r="C26" s="6">
        <v>407.275</v>
      </c>
      <c r="D26" s="6">
        <v>444.625</v>
      </c>
      <c r="E26" s="10">
        <f>IFERROR(__xludf.DUMMYFUNCTION("IFERROR(INDEX(GOOGLEFINANCE(""MSFT"", ""close"", A26), 2, 2), """")"),407.77)</f>
        <v>407.77</v>
      </c>
      <c r="F26" s="10" t="b">
        <f t="shared" si="1"/>
        <v>1</v>
      </c>
      <c r="G26" s="10" t="b">
        <f t="shared" si="2"/>
        <v>1</v>
      </c>
      <c r="H26" s="2" t="b">
        <f t="shared" si="3"/>
        <v>0</v>
      </c>
    </row>
    <row r="27">
      <c r="A27" s="4">
        <v>46155.0</v>
      </c>
      <c r="B27" s="6">
        <v>345.926</v>
      </c>
      <c r="C27" s="6">
        <v>414.957</v>
      </c>
      <c r="D27" s="6">
        <v>457.233</v>
      </c>
      <c r="E27" s="10">
        <f>IFERROR(__xludf.DUMMYFUNCTION("IFERROR(INDEX(GOOGLEFINANCE(""MSFT"", ""close"", A27), 2, 2), """")"),405.21)</f>
        <v>405.21</v>
      </c>
      <c r="F27" s="10" t="b">
        <f t="shared" si="1"/>
        <v>0</v>
      </c>
      <c r="G27" s="10" t="b">
        <f t="shared" si="2"/>
        <v>1</v>
      </c>
      <c r="H27" s="2" t="b">
        <f t="shared" si="3"/>
        <v>0</v>
      </c>
    </row>
    <row r="28">
      <c r="A28" s="4">
        <v>46156.0</v>
      </c>
      <c r="B28" s="6">
        <v>340.784</v>
      </c>
      <c r="C28" s="6">
        <v>404.837</v>
      </c>
      <c r="D28" s="6">
        <v>449.541</v>
      </c>
      <c r="E28" s="10">
        <f>IFERROR(__xludf.DUMMYFUNCTION("IFERROR(INDEX(GOOGLEFINANCE(""MSFT"", ""close"", A28), 2, 2), """")"),409.43)</f>
        <v>409.43</v>
      </c>
      <c r="F28" s="10" t="b">
        <f t="shared" si="1"/>
        <v>1</v>
      </c>
      <c r="G28" s="10" t="b">
        <f t="shared" si="2"/>
        <v>1</v>
      </c>
      <c r="H28" s="2" t="b">
        <f t="shared" si="3"/>
        <v>0</v>
      </c>
    </row>
    <row r="29">
      <c r="A29" s="4">
        <v>46157.0</v>
      </c>
      <c r="B29" s="6">
        <v>256.026</v>
      </c>
      <c r="C29" s="6">
        <v>402.797</v>
      </c>
      <c r="D29" s="6">
        <v>446.795</v>
      </c>
      <c r="E29" s="10">
        <f>IFERROR(__xludf.DUMMYFUNCTION("IFERROR(INDEX(GOOGLEFINANCE(""MSFT"", ""close"", A29), 2, 2), """")"),421.92)</f>
        <v>421.92</v>
      </c>
      <c r="F29" s="10" t="b">
        <f t="shared" si="1"/>
        <v>1</v>
      </c>
      <c r="G29" s="10" t="b">
        <f t="shared" si="2"/>
        <v>1</v>
      </c>
      <c r="H29" s="2" t="b">
        <f t="shared" si="3"/>
        <v>0</v>
      </c>
    </row>
    <row r="30">
      <c r="A30" s="4">
        <v>46160.0</v>
      </c>
      <c r="B30" s="6">
        <v>342.22</v>
      </c>
      <c r="C30" s="6">
        <v>414.829</v>
      </c>
      <c r="D30" s="6">
        <v>461.556</v>
      </c>
      <c r="E30" s="10">
        <f>IFERROR(__xludf.DUMMYFUNCTION("IFERROR(INDEX(GOOGLEFINANCE(""MSFT"", ""close"", A30), 2, 2), """")"),423.54)</f>
        <v>423.54</v>
      </c>
      <c r="F30" s="10" t="b">
        <f t="shared" si="1"/>
        <v>1</v>
      </c>
      <c r="G30" s="10" t="b">
        <f t="shared" si="2"/>
        <v>1</v>
      </c>
      <c r="H30" s="2" t="b">
        <f t="shared" si="3"/>
        <v>0</v>
      </c>
    </row>
    <row r="31">
      <c r="A31" s="4">
        <v>46161.0</v>
      </c>
      <c r="B31" s="6">
        <v>354.911</v>
      </c>
      <c r="C31" s="6">
        <v>406.614</v>
      </c>
      <c r="D31" s="6">
        <v>454.557</v>
      </c>
      <c r="E31" s="10">
        <f>IFERROR(__xludf.DUMMYFUNCTION("IFERROR(INDEX(GOOGLEFINANCE(""MSFT"", ""close"", A31), 2, 2), """")"),417.42)</f>
        <v>417.42</v>
      </c>
      <c r="F31" s="10" t="b">
        <f t="shared" si="1"/>
        <v>1</v>
      </c>
      <c r="G31" s="10" t="b">
        <f t="shared" si="2"/>
        <v>1</v>
      </c>
      <c r="H31" s="2" t="b">
        <f t="shared" si="3"/>
        <v>0</v>
      </c>
    </row>
    <row r="32">
      <c r="A32" s="4">
        <v>46162.0</v>
      </c>
      <c r="B32" s="6">
        <v>368.968</v>
      </c>
      <c r="C32" s="6">
        <v>454.458</v>
      </c>
      <c r="D32" s="6">
        <v>490.502</v>
      </c>
      <c r="E32" s="10">
        <f>IFERROR(__xludf.DUMMYFUNCTION("IFERROR(INDEX(GOOGLEFINANCE(""MSFT"", ""close"", A32), 2, 2), """")"),421.06)</f>
        <v>421.06</v>
      </c>
      <c r="F32" s="10" t="b">
        <f t="shared" si="1"/>
        <v>0</v>
      </c>
      <c r="G32" s="10" t="b">
        <f t="shared" si="2"/>
        <v>1</v>
      </c>
      <c r="H32" s="2" t="b">
        <f t="shared" si="3"/>
        <v>0</v>
      </c>
    </row>
    <row r="33">
      <c r="A33" s="4">
        <v>46163.0</v>
      </c>
      <c r="B33" s="6">
        <v>338.67</v>
      </c>
      <c r="C33" s="6">
        <v>408.885</v>
      </c>
      <c r="D33" s="6">
        <v>461.713</v>
      </c>
      <c r="E33" s="10">
        <f>IFERROR(__xludf.DUMMYFUNCTION("IFERROR(INDEX(GOOGLEFINANCE(""MSFT"", ""close"", A33), 2, 2), """")"),419.09)</f>
        <v>419.09</v>
      </c>
      <c r="F33" s="10" t="b">
        <f t="shared" si="1"/>
        <v>1</v>
      </c>
      <c r="G33" s="10" t="b">
        <f t="shared" si="2"/>
        <v>1</v>
      </c>
      <c r="H33" s="2" t="b">
        <f t="shared" si="3"/>
        <v>0</v>
      </c>
    </row>
    <row r="34">
      <c r="A34" s="4">
        <v>46164.0</v>
      </c>
      <c r="B34" s="6">
        <v>252.465</v>
      </c>
      <c r="C34" s="6">
        <v>397.889</v>
      </c>
      <c r="D34" s="6">
        <v>443.409</v>
      </c>
      <c r="E34" s="10">
        <f>IFERROR(__xludf.DUMMYFUNCTION("IFERROR(INDEX(GOOGLEFINANCE(""MSFT"", ""close"", A34), 2, 2), """")"),418.57)</f>
        <v>418.57</v>
      </c>
      <c r="F34" s="10" t="b">
        <f t="shared" si="1"/>
        <v>1</v>
      </c>
      <c r="G34" s="10" t="b">
        <f t="shared" si="2"/>
        <v>1</v>
      </c>
      <c r="H34" s="2" t="b">
        <f t="shared" si="3"/>
        <v>0</v>
      </c>
    </row>
    <row r="35">
      <c r="A35" s="4">
        <v>46168.0</v>
      </c>
      <c r="B35" s="6">
        <v>352.937</v>
      </c>
      <c r="C35" s="6">
        <v>404.918</v>
      </c>
      <c r="D35" s="6">
        <v>429.575</v>
      </c>
      <c r="E35" s="10">
        <f>IFERROR(__xludf.DUMMYFUNCTION("IFERROR(INDEX(GOOGLEFINANCE(""MSFT"", ""close"", A35), 2, 2), """")"),416.03)</f>
        <v>416.03</v>
      </c>
      <c r="F35" s="10" t="b">
        <f t="shared" si="1"/>
        <v>1</v>
      </c>
      <c r="G35" s="10" t="b">
        <f t="shared" si="2"/>
        <v>1</v>
      </c>
      <c r="H35" s="2" t="b">
        <f t="shared" si="3"/>
        <v>0</v>
      </c>
    </row>
    <row r="36">
      <c r="A36" s="4">
        <v>46169.0</v>
      </c>
      <c r="B36" s="6">
        <v>352.788</v>
      </c>
      <c r="C36" s="6">
        <v>411.454</v>
      </c>
      <c r="D36" s="6">
        <v>455.197</v>
      </c>
      <c r="E36" s="10">
        <f>IFERROR(__xludf.DUMMYFUNCTION("IFERROR(INDEX(GOOGLEFINANCE(""MSFT"", ""close"", A36), 2, 2), """")"),412.67)</f>
        <v>412.67</v>
      </c>
      <c r="F36" s="10" t="b">
        <f t="shared" si="1"/>
        <v>1</v>
      </c>
      <c r="G36" s="10" t="b">
        <f t="shared" si="2"/>
        <v>1</v>
      </c>
      <c r="H36" s="2" t="b">
        <f t="shared" si="3"/>
        <v>0</v>
      </c>
    </row>
    <row r="37">
      <c r="A37" s="4">
        <v>46170.0</v>
      </c>
      <c r="B37" s="6">
        <v>359.171</v>
      </c>
      <c r="C37" s="6">
        <v>420.717</v>
      </c>
      <c r="D37" s="6">
        <v>468.502</v>
      </c>
      <c r="E37" s="10">
        <f>IFERROR(__xludf.DUMMYFUNCTION("IFERROR(INDEX(GOOGLEFINANCE(""MSFT"", ""close"", A37), 2, 2), """")"),426.99)</f>
        <v>426.99</v>
      </c>
      <c r="F37" s="10" t="b">
        <f t="shared" si="1"/>
        <v>1</v>
      </c>
      <c r="G37" s="10" t="b">
        <f t="shared" si="2"/>
        <v>1</v>
      </c>
      <c r="H37" s="2" t="b">
        <f t="shared" si="3"/>
        <v>0</v>
      </c>
    </row>
    <row r="38">
      <c r="A38" s="4">
        <v>46171.0</v>
      </c>
      <c r="B38" s="6">
        <v>210.647</v>
      </c>
      <c r="C38" s="6">
        <v>392.311</v>
      </c>
      <c r="D38" s="6">
        <v>450.708</v>
      </c>
      <c r="E38" s="10">
        <f>IFERROR(__xludf.DUMMYFUNCTION("IFERROR(INDEX(GOOGLEFINANCE(""MSFT"", ""close"", A38), 2, 2), """")"),450.24)</f>
        <v>450.24</v>
      </c>
      <c r="F38" s="10" t="b">
        <f t="shared" si="1"/>
        <v>1</v>
      </c>
      <c r="G38" s="10" t="b">
        <f t="shared" si="2"/>
        <v>1</v>
      </c>
      <c r="H38" s="2" t="b">
        <f t="shared" si="3"/>
        <v>0</v>
      </c>
    </row>
    <row r="39">
      <c r="A39" s="4">
        <v>46174.0</v>
      </c>
      <c r="B39" s="6">
        <v>311.505</v>
      </c>
      <c r="C39" s="6">
        <v>378.376</v>
      </c>
      <c r="D39" s="6">
        <v>429.895</v>
      </c>
      <c r="E39" s="10">
        <f>IFERROR(__xludf.DUMMYFUNCTION("IFERROR(INDEX(GOOGLEFINANCE(""MSFT"", ""close"", A39), 2, 2), """")"),460.52)</f>
        <v>460.52</v>
      </c>
      <c r="F39" s="10" t="b">
        <f t="shared" si="1"/>
        <v>1</v>
      </c>
      <c r="G39" s="10" t="b">
        <f t="shared" si="2"/>
        <v>1</v>
      </c>
      <c r="H39" s="2" t="b">
        <f t="shared" si="3"/>
        <v>1</v>
      </c>
    </row>
    <row r="40">
      <c r="A40" s="4">
        <v>46175.0</v>
      </c>
      <c r="B40" s="6">
        <v>359.195</v>
      </c>
      <c r="C40" s="6">
        <v>420.89</v>
      </c>
      <c r="D40" s="6">
        <v>473.114</v>
      </c>
      <c r="E40" s="10">
        <f>IFERROR(__xludf.DUMMYFUNCTION("IFERROR(INDEX(GOOGLEFINANCE(""MSFT"", ""close"", A40), 2, 2), """")"),441.31)</f>
        <v>441.31</v>
      </c>
      <c r="F40" s="10" t="b">
        <f t="shared" si="1"/>
        <v>1</v>
      </c>
      <c r="G40" s="10" t="b">
        <f t="shared" si="2"/>
        <v>1</v>
      </c>
      <c r="H40" s="2" t="b">
        <f t="shared" si="3"/>
        <v>0</v>
      </c>
    </row>
    <row r="41">
      <c r="A41" s="4">
        <v>46176.0</v>
      </c>
      <c r="B41" s="6">
        <v>359.363</v>
      </c>
      <c r="C41" s="6">
        <v>417.495</v>
      </c>
      <c r="D41" s="6">
        <v>463.346</v>
      </c>
      <c r="E41" s="10">
        <f>IFERROR(__xludf.DUMMYFUNCTION("IFERROR(INDEX(GOOGLEFINANCE(""MSFT"", ""close"", A41), 2, 2), """")"),427.34)</f>
        <v>427.34</v>
      </c>
      <c r="F41" s="10" t="b">
        <f t="shared" si="1"/>
        <v>1</v>
      </c>
      <c r="G41" s="10" t="b">
        <f t="shared" si="2"/>
        <v>1</v>
      </c>
      <c r="H41" s="2" t="b">
        <f t="shared" si="3"/>
        <v>0</v>
      </c>
    </row>
    <row r="42">
      <c r="A42" s="4">
        <v>46177.0</v>
      </c>
      <c r="B42" s="6">
        <v>350.18</v>
      </c>
      <c r="C42" s="6">
        <v>419.491</v>
      </c>
      <c r="D42" s="6">
        <v>477.356</v>
      </c>
      <c r="E42" s="10">
        <f>IFERROR(__xludf.DUMMYFUNCTION("IFERROR(INDEX(GOOGLEFINANCE(""MSFT"", ""close"", A42), 2, 2), """")"),428.05)</f>
        <v>428.05</v>
      </c>
      <c r="F42" s="10" t="b">
        <f t="shared" si="1"/>
        <v>1</v>
      </c>
      <c r="G42" s="10" t="b">
        <f t="shared" si="2"/>
        <v>1</v>
      </c>
      <c r="H42" s="2" t="b">
        <f t="shared" si="3"/>
        <v>0</v>
      </c>
    </row>
    <row r="43">
      <c r="A43" s="4">
        <v>46178.0</v>
      </c>
      <c r="B43" s="6">
        <v>280.258</v>
      </c>
      <c r="C43" s="6">
        <v>460.409</v>
      </c>
      <c r="D43" s="6">
        <v>525.837</v>
      </c>
      <c r="E43" s="10">
        <f>IFERROR(__xludf.DUMMYFUNCTION("IFERROR(INDEX(GOOGLEFINANCE(""MSFT"", ""close"", A43), 2, 2), """")"),416.67)</f>
        <v>416.67</v>
      </c>
      <c r="F43" s="10" t="b">
        <f t="shared" si="1"/>
        <v>0</v>
      </c>
      <c r="G43" s="10" t="b">
        <f t="shared" si="2"/>
        <v>1</v>
      </c>
      <c r="H43" s="2" t="b">
        <f t="shared" si="3"/>
        <v>0</v>
      </c>
    </row>
    <row r="44">
      <c r="A44" s="4">
        <v>46181.0</v>
      </c>
      <c r="B44" s="6">
        <v>339.091</v>
      </c>
      <c r="C44" s="6">
        <v>420.524</v>
      </c>
      <c r="D44" s="6">
        <v>479.329</v>
      </c>
      <c r="E44" s="10">
        <f>IFERROR(__xludf.DUMMYFUNCTION("IFERROR(INDEX(GOOGLEFINANCE(""MSFT"", ""close"", A44), 2, 2), """")"),411.74)</f>
        <v>411.74</v>
      </c>
      <c r="F44" s="10" t="b">
        <f t="shared" si="1"/>
        <v>0</v>
      </c>
      <c r="G44" s="10" t="b">
        <f t="shared" si="2"/>
        <v>1</v>
      </c>
      <c r="H44" s="2" t="b">
        <f t="shared" si="3"/>
        <v>0</v>
      </c>
    </row>
    <row r="45">
      <c r="A45" s="4">
        <v>46182.0</v>
      </c>
      <c r="B45" s="6">
        <v>372.628</v>
      </c>
      <c r="C45" s="6">
        <v>414.474</v>
      </c>
      <c r="D45" s="6">
        <v>475.735</v>
      </c>
      <c r="E45" s="10">
        <f>IFERROR(__xludf.DUMMYFUNCTION("IFERROR(INDEX(GOOGLEFINANCE(""MSFT"", ""close"", A45), 2, 2), """")"),403.41)</f>
        <v>403.41</v>
      </c>
      <c r="F45" s="10" t="b">
        <f t="shared" si="1"/>
        <v>0</v>
      </c>
      <c r="G45" s="10" t="b">
        <f t="shared" si="2"/>
        <v>1</v>
      </c>
      <c r="H45" s="2" t="b">
        <f t="shared" si="3"/>
        <v>0</v>
      </c>
    </row>
    <row r="46">
      <c r="A46" s="4">
        <v>46183.0</v>
      </c>
      <c r="B46" s="6">
        <v>349.951</v>
      </c>
      <c r="C46" s="6">
        <v>421.648</v>
      </c>
      <c r="D46" s="6">
        <v>476.592</v>
      </c>
      <c r="E46" s="10">
        <f>IFERROR(__xludf.DUMMYFUNCTION("IFERROR(INDEX(GOOGLEFINANCE(""MSFT"", ""close"", A46), 2, 2), """")"),397.36)</f>
        <v>397.36</v>
      </c>
      <c r="F46" s="10" t="b">
        <f t="shared" si="1"/>
        <v>0</v>
      </c>
      <c r="G46" s="10" t="b">
        <f t="shared" si="2"/>
        <v>1</v>
      </c>
      <c r="H46" s="2" t="b">
        <f t="shared" si="3"/>
        <v>0</v>
      </c>
    </row>
    <row r="47">
      <c r="A47" s="4">
        <v>46184.0</v>
      </c>
      <c r="B47" s="6">
        <v>351.657</v>
      </c>
      <c r="C47" s="6">
        <v>412.508</v>
      </c>
      <c r="D47" s="6">
        <v>464.334</v>
      </c>
      <c r="E47" s="10">
        <f>IFERROR(__xludf.DUMMYFUNCTION("IFERROR(INDEX(GOOGLEFINANCE(""MSFT"", ""close"", A47), 2, 2), """")"),390.34)</f>
        <v>390.34</v>
      </c>
      <c r="F47" s="10" t="b">
        <f t="shared" si="1"/>
        <v>0</v>
      </c>
      <c r="G47" s="10" t="b">
        <f t="shared" si="2"/>
        <v>1</v>
      </c>
      <c r="H47" s="2" t="b">
        <f t="shared" si="3"/>
        <v>0</v>
      </c>
    </row>
    <row r="48">
      <c r="A48" s="4">
        <v>46185.0</v>
      </c>
      <c r="B48" s="6">
        <v>261.948</v>
      </c>
      <c r="C48" s="6">
        <v>407.352</v>
      </c>
      <c r="D48" s="6">
        <v>461.376</v>
      </c>
      <c r="E48" s="10">
        <f>IFERROR(__xludf.DUMMYFUNCTION("IFERROR(INDEX(GOOGLEFINANCE(""MSFT"", ""close"", A48), 2, 2), """")"),390.74)</f>
        <v>390.74</v>
      </c>
      <c r="F48" s="10" t="b">
        <f t="shared" si="1"/>
        <v>0</v>
      </c>
      <c r="G48" s="10" t="b">
        <f t="shared" si="2"/>
        <v>1</v>
      </c>
      <c r="H48" s="2" t="b">
        <f t="shared" si="3"/>
        <v>0</v>
      </c>
    </row>
    <row r="49">
      <c r="A49" s="4">
        <v>46188.0</v>
      </c>
      <c r="B49" s="6">
        <v>340.841</v>
      </c>
      <c r="C49" s="6">
        <v>417.38</v>
      </c>
      <c r="D49" s="6">
        <v>474.754</v>
      </c>
      <c r="E49" s="10">
        <f>IFERROR(__xludf.DUMMYFUNCTION("IFERROR(INDEX(GOOGLEFINANCE(""MSFT"", ""close"", A49), 2, 2), """")"),399.76)</f>
        <v>399.76</v>
      </c>
      <c r="F49" s="10" t="b">
        <f t="shared" si="1"/>
        <v>0</v>
      </c>
      <c r="G49" s="10" t="b">
        <f t="shared" si="2"/>
        <v>1</v>
      </c>
      <c r="H49" s="2" t="b">
        <f t="shared" si="3"/>
        <v>0</v>
      </c>
    </row>
    <row r="50">
      <c r="A50" s="4">
        <v>46189.0</v>
      </c>
      <c r="B50" s="6">
        <v>376.284</v>
      </c>
      <c r="C50" s="6">
        <v>423.937</v>
      </c>
      <c r="D50" s="6">
        <v>485.069</v>
      </c>
      <c r="E50" s="10">
        <f>IFERROR(__xludf.DUMMYFUNCTION("IFERROR(INDEX(GOOGLEFINANCE(""MSFT"", ""close"", A50), 2, 2), """")"),393.83)</f>
        <v>393.83</v>
      </c>
      <c r="F50" s="10" t="b">
        <f t="shared" si="1"/>
        <v>0</v>
      </c>
      <c r="G50" s="10" t="b">
        <f t="shared" si="2"/>
        <v>1</v>
      </c>
      <c r="H50" s="2" t="b">
        <f t="shared" si="3"/>
        <v>0</v>
      </c>
    </row>
    <row r="51">
      <c r="A51" s="4">
        <v>46190.0</v>
      </c>
      <c r="B51" s="6">
        <v>363.517</v>
      </c>
      <c r="C51" s="6">
        <v>428.433</v>
      </c>
      <c r="D51" s="6">
        <v>477.652</v>
      </c>
      <c r="E51" s="10">
        <f>IFERROR(__xludf.DUMMYFUNCTION("IFERROR(INDEX(GOOGLEFINANCE(""MSFT"", ""close"", A51), 2, 2), """")"),378.91)</f>
        <v>378.91</v>
      </c>
      <c r="F51" s="10" t="b">
        <f t="shared" si="1"/>
        <v>0</v>
      </c>
      <c r="G51" s="10" t="b">
        <f t="shared" si="2"/>
        <v>1</v>
      </c>
      <c r="H51" s="2" t="b">
        <f t="shared" si="3"/>
        <v>0</v>
      </c>
    </row>
    <row r="52">
      <c r="A52" s="4">
        <v>46191.0</v>
      </c>
      <c r="B52" s="6">
        <v>331.098</v>
      </c>
      <c r="C52" s="6">
        <v>415.815</v>
      </c>
      <c r="D52" s="6">
        <v>472.795</v>
      </c>
      <c r="E52" s="10">
        <f>IFERROR(__xludf.DUMMYFUNCTION("IFERROR(INDEX(GOOGLEFINANCE(""MSFT"", ""close"", A52), 2, 2), """")"),379.4)</f>
        <v>379.4</v>
      </c>
      <c r="F52" s="10" t="b">
        <f t="shared" si="1"/>
        <v>0</v>
      </c>
      <c r="G52" s="10" t="b">
        <f t="shared" si="2"/>
        <v>1</v>
      </c>
      <c r="H52" s="2" t="b">
        <f t="shared" si="3"/>
        <v>0</v>
      </c>
    </row>
    <row r="53">
      <c r="A53" s="4">
        <v>46195.0</v>
      </c>
      <c r="B53" s="6">
        <v>339.74</v>
      </c>
      <c r="C53" s="6">
        <v>427.895</v>
      </c>
      <c r="D53" s="6">
        <v>472.181</v>
      </c>
      <c r="E53" s="10">
        <f>IFERROR(__xludf.DUMMYFUNCTION("IFERROR(INDEX(GOOGLEFINANCE(""MSFT"", ""close"", A53), 2, 2), """")"),367.34)</f>
        <v>367.34</v>
      </c>
      <c r="F53" s="10" t="b">
        <f t="shared" si="1"/>
        <v>0</v>
      </c>
      <c r="G53" s="10" t="b">
        <f t="shared" si="2"/>
        <v>1</v>
      </c>
      <c r="H53" s="2" t="b">
        <f t="shared" si="3"/>
        <v>0</v>
      </c>
    </row>
    <row r="54">
      <c r="A54" s="4">
        <v>46196.0</v>
      </c>
      <c r="B54" s="6">
        <v>362.35</v>
      </c>
      <c r="C54" s="6">
        <v>420.893</v>
      </c>
      <c r="D54" s="6">
        <v>473.31</v>
      </c>
      <c r="E54" s="10">
        <f>IFERROR(__xludf.DUMMYFUNCTION("IFERROR(INDEX(GOOGLEFINANCE(""MSFT"", ""close"", A54), 2, 2), """")"),373.94)</f>
        <v>373.94</v>
      </c>
      <c r="F54" s="10" t="b">
        <f t="shared" si="1"/>
        <v>0</v>
      </c>
      <c r="G54" s="10" t="b">
        <f t="shared" si="2"/>
        <v>1</v>
      </c>
      <c r="H54" s="2" t="b">
        <f t="shared" si="3"/>
        <v>0</v>
      </c>
    </row>
    <row r="55">
      <c r="A55" s="4">
        <v>46197.0</v>
      </c>
      <c r="B55" s="6">
        <v>373.259</v>
      </c>
      <c r="C55" s="6">
        <v>429.933</v>
      </c>
      <c r="D55" s="6">
        <v>482.178</v>
      </c>
      <c r="E55" s="10">
        <f>IFERROR(__xludf.DUMMYFUNCTION("IFERROR(INDEX(GOOGLEFINANCE(""MSFT"", ""close"", A55), 2, 2), """")"),365.46)</f>
        <v>365.46</v>
      </c>
      <c r="F55" s="10" t="b">
        <f t="shared" si="1"/>
        <v>0</v>
      </c>
      <c r="G55" s="10" t="b">
        <f t="shared" si="2"/>
        <v>0</v>
      </c>
      <c r="H55" s="2" t="b">
        <f t="shared" si="3"/>
        <v>0</v>
      </c>
    </row>
    <row r="56">
      <c r="A56" s="4">
        <v>46198.0</v>
      </c>
      <c r="B56" s="6">
        <v>350.052</v>
      </c>
      <c r="C56" s="6">
        <v>419.469</v>
      </c>
      <c r="D56" s="6">
        <v>468.7</v>
      </c>
      <c r="E56" s="10">
        <f>IFERROR(__xludf.DUMMYFUNCTION("IFERROR(INDEX(GOOGLEFINANCE(""MSFT"", ""close"", A56), 2, 2), """")"),352.83)</f>
        <v>352.83</v>
      </c>
      <c r="F56" s="10" t="b">
        <f t="shared" si="1"/>
        <v>0</v>
      </c>
      <c r="G56" s="10" t="b">
        <f t="shared" si="2"/>
        <v>1</v>
      </c>
      <c r="H56" s="2" t="b">
        <f t="shared" si="3"/>
        <v>0</v>
      </c>
    </row>
    <row r="57">
      <c r="A57" s="4">
        <v>46199.0</v>
      </c>
      <c r="B57" s="6">
        <v>241.969</v>
      </c>
      <c r="C57" s="6">
        <v>409.22</v>
      </c>
      <c r="D57" s="6">
        <v>467.573</v>
      </c>
      <c r="E57" s="10">
        <f>IFERROR(__xludf.DUMMYFUNCTION("IFERROR(INDEX(GOOGLEFINANCE(""MSFT"", ""close"", A57), 2, 2), """")"),372.97)</f>
        <v>372.97</v>
      </c>
      <c r="F57" s="10" t="b">
        <f t="shared" si="1"/>
        <v>0</v>
      </c>
      <c r="G57" s="10" t="b">
        <f t="shared" si="2"/>
        <v>1</v>
      </c>
      <c r="H57" s="2" t="b">
        <f t="shared" si="3"/>
        <v>0</v>
      </c>
    </row>
    <row r="58">
      <c r="A58" s="4">
        <v>46202.0</v>
      </c>
      <c r="B58" s="6">
        <v>343.611</v>
      </c>
      <c r="C58" s="6">
        <v>422.352</v>
      </c>
      <c r="D58" s="6">
        <v>481.753</v>
      </c>
      <c r="E58" s="10">
        <f>IFERROR(__xludf.DUMMYFUNCTION("IFERROR(INDEX(GOOGLEFINANCE(""MSFT"", ""close"", A58), 2, 2), """")"),368.57)</f>
        <v>368.57</v>
      </c>
      <c r="F58" s="10" t="b">
        <f t="shared" si="1"/>
        <v>0</v>
      </c>
      <c r="G58" s="10" t="b">
        <f t="shared" si="2"/>
        <v>1</v>
      </c>
      <c r="H58" s="2" t="b">
        <f t="shared" si="3"/>
        <v>0</v>
      </c>
    </row>
    <row r="59">
      <c r="A59" s="4">
        <v>46203.0</v>
      </c>
      <c r="B59" s="6">
        <v>399.684</v>
      </c>
      <c r="C59" s="6">
        <v>449.262</v>
      </c>
      <c r="D59" s="6">
        <v>530.814</v>
      </c>
      <c r="E59" s="10">
        <f>IFERROR(__xludf.DUMMYFUNCTION("IFERROR(INDEX(GOOGLEFINANCE(""MSFT"", ""close"", A59), 2, 2), """")"),373.02)</f>
        <v>373.02</v>
      </c>
      <c r="F59" s="10" t="b">
        <f t="shared" si="1"/>
        <v>0</v>
      </c>
      <c r="G59" s="10" t="b">
        <f t="shared" si="2"/>
        <v>0</v>
      </c>
      <c r="H59" s="2" t="b">
        <f t="shared" si="3"/>
        <v>0</v>
      </c>
    </row>
    <row r="60">
      <c r="A60" s="4">
        <v>46204.0</v>
      </c>
      <c r="B60" s="6">
        <v>372.576</v>
      </c>
      <c r="C60" s="6">
        <v>439.482</v>
      </c>
      <c r="D60" s="6">
        <v>498.236</v>
      </c>
      <c r="E60" s="10">
        <f>IFERROR(__xludf.DUMMYFUNCTION("IFERROR(INDEX(GOOGLEFINANCE(""MSFT"", ""close"", A60), 2, 2), """")"),384.28)</f>
        <v>384.28</v>
      </c>
      <c r="F60" s="10" t="b">
        <f t="shared" si="1"/>
        <v>0</v>
      </c>
      <c r="G60" s="10" t="b">
        <f t="shared" si="2"/>
        <v>1</v>
      </c>
      <c r="H60" s="2" t="b">
        <f t="shared" si="3"/>
        <v>0</v>
      </c>
    </row>
    <row r="61">
      <c r="A61" s="4">
        <v>46205.0</v>
      </c>
      <c r="B61" s="6">
        <v>370.845</v>
      </c>
      <c r="C61" s="6">
        <v>415.341</v>
      </c>
      <c r="D61" s="6">
        <v>470.454</v>
      </c>
      <c r="E61" s="10">
        <f>IFERROR(__xludf.DUMMYFUNCTION("IFERROR(INDEX(GOOGLEFINANCE(""MSFT"", ""close"", A61), 2, 2), """")"),390.49)</f>
        <v>390.49</v>
      </c>
      <c r="F61" s="10" t="b">
        <f t="shared" si="1"/>
        <v>0</v>
      </c>
      <c r="G61" s="10" t="b">
        <f t="shared" si="2"/>
        <v>1</v>
      </c>
      <c r="H61" s="2" t="b">
        <f t="shared" si="3"/>
        <v>0</v>
      </c>
    </row>
    <row r="62">
      <c r="A62" s="4">
        <v>46209.0</v>
      </c>
      <c r="B62" s="6">
        <v>339.433</v>
      </c>
      <c r="C62" s="6">
        <v>424.525</v>
      </c>
      <c r="D62" s="6">
        <v>479.654</v>
      </c>
      <c r="E62" s="10">
        <f>IFERROR(__xludf.DUMMYFUNCTION("IFERROR(INDEX(GOOGLEFINANCE(""MSFT"", ""close"", A62), 2, 2), """")"),386.74)</f>
        <v>386.74</v>
      </c>
      <c r="F62" s="10" t="b">
        <f t="shared" si="1"/>
        <v>0</v>
      </c>
      <c r="G62" s="10" t="b">
        <f t="shared" si="2"/>
        <v>1</v>
      </c>
      <c r="H62" s="2" t="b">
        <f t="shared" si="3"/>
        <v>0</v>
      </c>
    </row>
    <row r="63">
      <c r="A63" s="4">
        <v>46210.0</v>
      </c>
      <c r="B63" s="6">
        <v>373.053</v>
      </c>
      <c r="C63" s="6">
        <v>432.719</v>
      </c>
      <c r="D63" s="6">
        <v>482.575</v>
      </c>
      <c r="E63" s="10">
        <f>IFERROR(__xludf.DUMMYFUNCTION("IFERROR(INDEX(GOOGLEFINANCE(""MSFT"", ""close"", A63), 2, 2), """")"),388.84)</f>
        <v>388.84</v>
      </c>
      <c r="F63" s="10" t="b">
        <f t="shared" si="1"/>
        <v>0</v>
      </c>
      <c r="G63" s="10" t="b">
        <f t="shared" si="2"/>
        <v>1</v>
      </c>
      <c r="H63" s="2" t="b">
        <f t="shared" si="3"/>
        <v>0</v>
      </c>
    </row>
    <row r="64">
      <c r="A64" s="4">
        <v>46211.0</v>
      </c>
      <c r="B64" s="6">
        <v>378.599</v>
      </c>
      <c r="C64" s="6">
        <v>430.152</v>
      </c>
      <c r="D64" s="6">
        <v>490.025</v>
      </c>
      <c r="E64" s="10">
        <f>IFERROR(__xludf.DUMMYFUNCTION("IFERROR(INDEX(GOOGLEFINANCE(""MSFT"", ""close"", A64), 2, 2), """")"),383.34)</f>
        <v>383.34</v>
      </c>
      <c r="F64" s="10" t="b">
        <f t="shared" si="1"/>
        <v>0</v>
      </c>
      <c r="G64" s="10" t="b">
        <f t="shared" si="2"/>
        <v>1</v>
      </c>
      <c r="H64" s="2" t="b">
        <f t="shared" si="3"/>
        <v>0</v>
      </c>
    </row>
    <row r="65">
      <c r="A65" s="4">
        <v>46212.0</v>
      </c>
      <c r="B65" s="6">
        <v>369.948</v>
      </c>
      <c r="C65" s="6">
        <v>433.633</v>
      </c>
      <c r="D65" s="6">
        <v>495.236</v>
      </c>
      <c r="E65" s="10">
        <f>IFERROR(__xludf.DUMMYFUNCTION("IFERROR(INDEX(GOOGLEFINANCE(""MSFT"", ""close"", A65), 2, 2), """")"),384.36)</f>
        <v>384.36</v>
      </c>
      <c r="F65" s="10" t="b">
        <f t="shared" si="1"/>
        <v>0</v>
      </c>
      <c r="G65" s="10" t="b">
        <f t="shared" si="2"/>
        <v>1</v>
      </c>
      <c r="H65" s="2" t="b">
        <f t="shared" si="3"/>
        <v>0</v>
      </c>
    </row>
    <row r="66">
      <c r="A66" s="4">
        <v>46213.0</v>
      </c>
      <c r="B66" s="6">
        <v>239.531</v>
      </c>
      <c r="C66" s="6">
        <v>412.818</v>
      </c>
      <c r="D66" s="6">
        <v>473.487</v>
      </c>
      <c r="E66" s="10">
        <f>IFERROR(__xludf.DUMMYFUNCTION("IFERROR(INDEX(GOOGLEFINANCE(""MSFT"", ""close"", A66), 2, 2), """")"),385.1)</f>
        <v>385.1</v>
      </c>
      <c r="F66" s="10" t="b">
        <f t="shared" si="1"/>
        <v>0</v>
      </c>
      <c r="G66" s="10" t="b">
        <f t="shared" si="2"/>
        <v>1</v>
      </c>
      <c r="H66" s="2" t="b">
        <f t="shared" si="3"/>
        <v>0</v>
      </c>
    </row>
    <row r="67">
      <c r="A67" s="4">
        <v>46216.0</v>
      </c>
      <c r="B67" s="6">
        <v>380.708</v>
      </c>
      <c r="C67" s="6">
        <v>429.662</v>
      </c>
      <c r="D67" s="6">
        <v>495.299</v>
      </c>
      <c r="E67" s="10">
        <f>IFERROR(__xludf.DUMMYFUNCTION("IFERROR(INDEX(GOOGLEFINANCE(""MSFT"", ""close"", A67), 2, 2), """")"),390.99)</f>
        <v>390.99</v>
      </c>
      <c r="F67" s="10" t="b">
        <f t="shared" si="1"/>
        <v>0</v>
      </c>
      <c r="G67" s="10" t="b">
        <f t="shared" si="2"/>
        <v>1</v>
      </c>
      <c r="H67" s="2" t="b">
        <f t="shared" si="3"/>
        <v>0</v>
      </c>
    </row>
    <row r="68">
      <c r="A68" s="4">
        <v>46217.0</v>
      </c>
      <c r="B68" s="6">
        <v>378.493</v>
      </c>
      <c r="C68" s="6">
        <v>439.62</v>
      </c>
      <c r="D68" s="6">
        <v>490.613</v>
      </c>
      <c r="E68" s="10">
        <f>IFERROR(__xludf.DUMMYFUNCTION("IFERROR(INDEX(GOOGLEFINANCE(""MSFT"", ""close"", A68), 2, 2), """")"),384.93)</f>
        <v>384.93</v>
      </c>
      <c r="F68" s="10" t="b">
        <f t="shared" si="1"/>
        <v>0</v>
      </c>
      <c r="G68" s="10" t="b">
        <f t="shared" si="2"/>
        <v>1</v>
      </c>
      <c r="H68" s="2" t="b">
        <f t="shared" si="3"/>
        <v>0</v>
      </c>
    </row>
    <row r="69">
      <c r="A69" s="4">
        <v>46218.0</v>
      </c>
      <c r="B69" s="6">
        <v>381.339</v>
      </c>
      <c r="C69" s="6">
        <v>439.433</v>
      </c>
      <c r="D69" s="6">
        <v>494.069</v>
      </c>
      <c r="E69" s="10">
        <f>IFERROR(__xludf.DUMMYFUNCTION("IFERROR(INDEX(GOOGLEFINANCE(""MSFT"", ""close"", A69), 2, 2), """")"),395.63)</f>
        <v>395.63</v>
      </c>
      <c r="F69" s="10" t="b">
        <f t="shared" si="1"/>
        <v>0</v>
      </c>
      <c r="G69" s="10" t="b">
        <f t="shared" si="2"/>
        <v>1</v>
      </c>
      <c r="H69" s="2" t="b">
        <f t="shared" si="3"/>
        <v>0</v>
      </c>
    </row>
    <row r="70">
      <c r="A70" s="4">
        <v>46219.0</v>
      </c>
      <c r="B70" s="6">
        <v>356.0</v>
      </c>
      <c r="C70" s="6">
        <v>437.376</v>
      </c>
      <c r="D70" s="6">
        <v>494.376</v>
      </c>
      <c r="E70" s="10">
        <f>IFERROR(__xludf.DUMMYFUNCTION("IFERROR(INDEX(GOOGLEFINANCE(""MSFT"", ""close"", A70), 2, 2), """")"),401.1)</f>
        <v>401.1</v>
      </c>
      <c r="F70" s="10" t="b">
        <f t="shared" si="1"/>
        <v>0</v>
      </c>
      <c r="G70" s="10" t="b">
        <f t="shared" si="2"/>
        <v>1</v>
      </c>
      <c r="H70" s="2" t="b">
        <f t="shared" si="3"/>
        <v>0</v>
      </c>
    </row>
    <row r="71">
      <c r="A71" s="4">
        <v>46220.0</v>
      </c>
      <c r="B71" s="6">
        <v>239.364</v>
      </c>
      <c r="C71" s="6">
        <v>413.001</v>
      </c>
      <c r="D71" s="6">
        <v>460.663</v>
      </c>
      <c r="E71" s="10">
        <f>IFERROR(__xludf.DUMMYFUNCTION("IFERROR(INDEX(GOOGLEFINANCE(""MSFT"", ""close"", A71), 2, 2), """")"),393.82)</f>
        <v>393.82</v>
      </c>
      <c r="F71" s="10" t="b">
        <f t="shared" si="1"/>
        <v>0</v>
      </c>
      <c r="G71" s="10" t="b">
        <f t="shared" si="2"/>
        <v>1</v>
      </c>
      <c r="H71" s="2" t="b">
        <f t="shared" si="3"/>
        <v>0</v>
      </c>
    </row>
    <row r="72">
      <c r="A72" s="4">
        <v>46223.0</v>
      </c>
      <c r="B72" s="6">
        <v>351.262</v>
      </c>
      <c r="C72" s="6">
        <v>437.234</v>
      </c>
      <c r="D72" s="6">
        <v>488.014</v>
      </c>
      <c r="E72" s="10">
        <f>IFERROR(__xludf.DUMMYFUNCTION("IFERROR(INDEX(GOOGLEFINANCE(""MSFT"", ""close"", A72), 2, 2), """")"),402.29)</f>
        <v>402.29</v>
      </c>
      <c r="F72" s="10" t="b">
        <f t="shared" si="1"/>
        <v>0</v>
      </c>
      <c r="G72" s="10" t="b">
        <f t="shared" si="2"/>
        <v>1</v>
      </c>
      <c r="H72" s="2" t="b">
        <f t="shared" si="3"/>
        <v>0</v>
      </c>
    </row>
    <row r="73">
      <c r="A73" s="4">
        <v>46224.0</v>
      </c>
      <c r="B73" s="6">
        <v>370.301</v>
      </c>
      <c r="C73" s="6">
        <v>430.242</v>
      </c>
      <c r="D73" s="6">
        <v>483.127</v>
      </c>
      <c r="E73" s="10">
        <f>IFERROR(__xludf.DUMMYFUNCTION("IFERROR(INDEX(GOOGLEFINANCE(""MSFT"", ""close"", A73), 2, 2), """")"),397.75)</f>
        <v>397.75</v>
      </c>
      <c r="F73" s="10" t="b">
        <f t="shared" si="1"/>
        <v>0</v>
      </c>
      <c r="G73" s="10" t="b">
        <f t="shared" si="2"/>
        <v>1</v>
      </c>
      <c r="H73" s="2" t="b">
        <f t="shared" si="3"/>
        <v>0</v>
      </c>
    </row>
    <row r="74">
      <c r="A74" s="4">
        <v>46225.0</v>
      </c>
      <c r="B74" s="6">
        <v>433.824</v>
      </c>
      <c r="C74" s="6">
        <v>482.794</v>
      </c>
      <c r="D74" s="6">
        <v>567.736</v>
      </c>
      <c r="E74" s="10">
        <f>IFERROR(__xludf.DUMMYFUNCTION("IFERROR(INDEX(GOOGLEFINANCE(""MSFT"", ""close"", A74), 2, 2), """")"),390.34)</f>
        <v>390.34</v>
      </c>
      <c r="F74" s="10" t="b">
        <f t="shared" si="1"/>
        <v>0</v>
      </c>
      <c r="G74" s="10" t="b">
        <f t="shared" si="2"/>
        <v>0</v>
      </c>
      <c r="H74" s="2" t="b">
        <f t="shared" si="3"/>
        <v>0</v>
      </c>
    </row>
    <row r="75">
      <c r="A75" s="4">
        <v>46226.0</v>
      </c>
      <c r="B75" s="6">
        <v>359.078</v>
      </c>
      <c r="C75" s="6">
        <v>428.955</v>
      </c>
      <c r="D75" s="6">
        <v>484.199</v>
      </c>
      <c r="E75" s="10">
        <f>IFERROR(__xludf.DUMMYFUNCTION("IFERROR(INDEX(GOOGLEFINANCE(""MSFT"", ""close"", A75), 2, 2), """")"),381.58)</f>
        <v>381.58</v>
      </c>
      <c r="F75" s="10" t="b">
        <f t="shared" si="1"/>
        <v>0</v>
      </c>
      <c r="G75" s="10" t="b">
        <f t="shared" si="2"/>
        <v>1</v>
      </c>
      <c r="H75" s="2" t="b">
        <f t="shared" si="3"/>
        <v>0</v>
      </c>
    </row>
    <row r="76">
      <c r="A76" s="4">
        <v>46227.0</v>
      </c>
      <c r="B76" s="6">
        <v>255.929</v>
      </c>
      <c r="C76" s="6">
        <v>427.225</v>
      </c>
      <c r="D76" s="6">
        <v>478.478</v>
      </c>
      <c r="E76" s="10">
        <f>IFERROR(__xludf.DUMMYFUNCTION("IFERROR(INDEX(GOOGLEFINANCE(""MSFT"", ""close"", A76), 2, 2), """")"),381.7)</f>
        <v>381.7</v>
      </c>
      <c r="F76" s="10" t="b">
        <f t="shared" si="1"/>
        <v>0</v>
      </c>
      <c r="G76" s="10" t="b">
        <f t="shared" si="2"/>
        <v>1</v>
      </c>
      <c r="H76" s="2" t="b">
        <f t="shared" si="3"/>
        <v>0</v>
      </c>
    </row>
    <row r="77">
      <c r="A77" s="4">
        <v>46230.0</v>
      </c>
      <c r="B77" s="6">
        <v>350.892</v>
      </c>
      <c r="C77" s="6">
        <v>437.368</v>
      </c>
      <c r="D77" s="6">
        <v>494.077</v>
      </c>
      <c r="E77" s="10">
        <f>IFERROR(__xludf.DUMMYFUNCTION("IFERROR(INDEX(GOOGLEFINANCE(""MSFT"", ""close"", A77), 2, 2), """")"),389.1)</f>
        <v>389.1</v>
      </c>
      <c r="F77" s="10" t="b">
        <f t="shared" si="1"/>
        <v>0</v>
      </c>
      <c r="G77" s="10" t="b">
        <f t="shared" si="2"/>
        <v>1</v>
      </c>
      <c r="H77" s="2" t="b">
        <f t="shared" si="3"/>
        <v>0</v>
      </c>
    </row>
    <row r="78">
      <c r="A78" s="4">
        <v>46231.0</v>
      </c>
      <c r="B78" s="6">
        <v>398.752</v>
      </c>
      <c r="C78" s="6">
        <v>439.05</v>
      </c>
      <c r="D78" s="6">
        <v>496.559</v>
      </c>
      <c r="E78" s="10">
        <f>IFERROR(__xludf.DUMMYFUNCTION("IFERROR(INDEX(GOOGLEFINANCE(""MSFT"", ""close"", A78), 2, 2), """")"),393.35)</f>
        <v>393.35</v>
      </c>
      <c r="F78" s="10" t="b">
        <f t="shared" si="1"/>
        <v>0</v>
      </c>
      <c r="G78" s="10" t="b">
        <f t="shared" si="2"/>
        <v>0</v>
      </c>
      <c r="H78" s="2" t="b">
        <f t="shared" si="3"/>
        <v>0</v>
      </c>
    </row>
    <row r="79">
      <c r="A79" s="4">
        <v>46232.0</v>
      </c>
      <c r="B79" s="6">
        <v>378.937</v>
      </c>
      <c r="C79" s="6">
        <v>440.105</v>
      </c>
      <c r="D79" s="6">
        <v>499.643</v>
      </c>
      <c r="E79" s="10">
        <f>IFERROR(__xludf.DUMMYFUNCTION("IFERROR(INDEX(GOOGLEFINANCE(""MSFT"", ""close"", A79), 2, 2), """")"),390.54)</f>
        <v>390.54</v>
      </c>
      <c r="F79" s="10" t="b">
        <f t="shared" si="1"/>
        <v>0</v>
      </c>
      <c r="G79" s="10" t="b">
        <f t="shared" si="2"/>
        <v>1</v>
      </c>
      <c r="H79" s="2" t="b">
        <f t="shared" si="3"/>
        <v>0</v>
      </c>
    </row>
    <row r="80">
      <c r="A80" s="4">
        <v>46233.0</v>
      </c>
      <c r="B80" s="6">
        <v>371.178</v>
      </c>
      <c r="C80" s="6">
        <v>447.471</v>
      </c>
      <c r="D80" s="6">
        <v>504.828</v>
      </c>
      <c r="E80" s="10">
        <f>IFERROR(__xludf.DUMMYFUNCTION("IFERROR(INDEX(GOOGLEFINANCE(""MSFT"", ""close"", A80), 2, 2), """")"),451.1)</f>
        <v>451.1</v>
      </c>
      <c r="F80" s="10" t="b">
        <f t="shared" si="1"/>
        <v>1</v>
      </c>
      <c r="G80" s="10" t="b">
        <f t="shared" si="2"/>
        <v>1</v>
      </c>
      <c r="H80" s="2" t="b">
        <f t="shared" si="3"/>
        <v>0</v>
      </c>
    </row>
    <row r="81">
      <c r="A81" s="4">
        <v>46234.0</v>
      </c>
      <c r="B81" s="6">
        <v>253.503</v>
      </c>
      <c r="C81" s="6">
        <v>421.143</v>
      </c>
      <c r="D81" s="6">
        <v>485.623</v>
      </c>
      <c r="E81" s="10">
        <f>IFERROR(__xludf.DUMMYFUNCTION("IFERROR(INDEX(GOOGLEFINANCE(""MSFT"", ""close"", A81), 2, 2), """")"),464.72)</f>
        <v>464.72</v>
      </c>
      <c r="F81" s="10" t="b">
        <f t="shared" si="1"/>
        <v>1</v>
      </c>
      <c r="G81" s="10" t="b">
        <f t="shared" si="2"/>
        <v>1</v>
      </c>
      <c r="H81" s="2" t="b">
        <f t="shared" si="3"/>
        <v>0</v>
      </c>
    </row>
    <row r="82">
      <c r="A82" s="4">
        <v>46237.0</v>
      </c>
      <c r="B82" s="6">
        <v>337.58</v>
      </c>
      <c r="C82" s="6">
        <v>427.518</v>
      </c>
      <c r="D82" s="6">
        <v>484.559</v>
      </c>
      <c r="E82" s="10">
        <f>IFERROR(__xludf.DUMMYFUNCTION("IFERROR(INDEX(GOOGLEFINANCE(""MSFT"", ""close"", A82), 2, 2), """")"),487.65)</f>
        <v>487.65</v>
      </c>
      <c r="F82" s="10" t="b">
        <f t="shared" si="1"/>
        <v>1</v>
      </c>
      <c r="G82" s="10" t="b">
        <f t="shared" si="2"/>
        <v>1</v>
      </c>
      <c r="H82" s="2" t="b">
        <f t="shared" si="3"/>
        <v>1</v>
      </c>
    </row>
    <row r="83">
      <c r="A83" s="4">
        <v>46238.0</v>
      </c>
      <c r="B83" s="6">
        <v>372.534</v>
      </c>
      <c r="C83" s="6">
        <v>445.632</v>
      </c>
      <c r="D83" s="6">
        <v>502.712</v>
      </c>
      <c r="E83" s="10">
        <f>IFERROR(__xludf.DUMMYFUNCTION("IFERROR(INDEX(GOOGLEFINANCE(""MSFT"", ""close"", A83), 2, 2), """")"),492.81)</f>
        <v>492.81</v>
      </c>
      <c r="F83" s="10" t="b">
        <f t="shared" si="1"/>
        <v>1</v>
      </c>
      <c r="G83" s="10" t="b">
        <f t="shared" si="2"/>
        <v>1</v>
      </c>
      <c r="H83" s="2" t="b">
        <f t="shared" si="3"/>
        <v>0</v>
      </c>
    </row>
    <row r="84">
      <c r="A84" s="4">
        <v>46239.0</v>
      </c>
      <c r="B84" s="6">
        <v>401.61</v>
      </c>
      <c r="C84" s="6">
        <v>447.605</v>
      </c>
      <c r="D84" s="6">
        <v>508.22</v>
      </c>
      <c r="E84" s="10">
        <f>IFERROR(__xludf.DUMMYFUNCTION("IFERROR(INDEX(GOOGLEFINANCE(""MSFT"", ""close"", A84), 2, 2), """")"),487.46)</f>
        <v>487.46</v>
      </c>
      <c r="F84" s="10" t="b">
        <f t="shared" si="1"/>
        <v>1</v>
      </c>
      <c r="G84" s="10" t="b">
        <f t="shared" si="2"/>
        <v>1</v>
      </c>
      <c r="H84" s="2" t="b">
        <f t="shared" si="3"/>
        <v>0</v>
      </c>
    </row>
    <row r="85">
      <c r="A85" s="4">
        <v>46240.0</v>
      </c>
      <c r="B85" s="6">
        <v>383.085</v>
      </c>
      <c r="C85" s="6">
        <v>453.044</v>
      </c>
      <c r="D85" s="6">
        <v>510.814</v>
      </c>
      <c r="E85" s="10">
        <f>IFERROR(__xludf.DUMMYFUNCTION("IFERROR(INDEX(GOOGLEFINANCE(""MSFT"", ""close"", A85), 2, 2), """")"),499.86)</f>
        <v>499.86</v>
      </c>
      <c r="F85" s="10" t="b">
        <f t="shared" si="1"/>
        <v>1</v>
      </c>
      <c r="G85" s="10" t="b">
        <f t="shared" si="2"/>
        <v>1</v>
      </c>
      <c r="H85" s="2" t="b">
        <f t="shared" si="3"/>
        <v>0</v>
      </c>
    </row>
    <row r="86">
      <c r="A86" s="4">
        <v>46241.0</v>
      </c>
      <c r="B86" s="6">
        <v>243.867</v>
      </c>
      <c r="C86" s="6">
        <v>417.158</v>
      </c>
      <c r="D86" s="6">
        <v>479.954</v>
      </c>
      <c r="E86" s="10">
        <f>IFERROR(__xludf.DUMMYFUNCTION("IFERROR(INDEX(GOOGLEFINANCE(""MSFT"", ""close"", A86), 2, 2), """")"),499.99)</f>
        <v>499.99</v>
      </c>
      <c r="F86" s="10" t="b">
        <f t="shared" si="1"/>
        <v>1</v>
      </c>
      <c r="G86" s="10" t="b">
        <f t="shared" si="2"/>
        <v>1</v>
      </c>
      <c r="H86" s="2" t="b">
        <f t="shared" si="3"/>
        <v>1</v>
      </c>
    </row>
    <row r="87">
      <c r="A87" s="4">
        <v>46244.0</v>
      </c>
      <c r="B87" s="6">
        <v>345.972</v>
      </c>
      <c r="C87" s="6">
        <v>447.401</v>
      </c>
      <c r="D87" s="6">
        <v>496.319</v>
      </c>
      <c r="E87" s="10">
        <f>IFERROR(__xludf.DUMMYFUNCTION("IFERROR(INDEX(GOOGLEFINANCE(""MSFT"", ""close"", A87), 2, 2), """")"),506.06)</f>
        <v>506.06</v>
      </c>
      <c r="F87" s="10" t="b">
        <f t="shared" si="1"/>
        <v>1</v>
      </c>
      <c r="G87" s="10" t="b">
        <f t="shared" si="2"/>
        <v>1</v>
      </c>
      <c r="H87" s="2" t="b">
        <f t="shared" si="3"/>
        <v>1</v>
      </c>
    </row>
    <row r="88">
      <c r="A88" s="4">
        <v>46245.0</v>
      </c>
      <c r="B88" s="6">
        <v>377.003</v>
      </c>
      <c r="C88" s="6">
        <v>444.64</v>
      </c>
      <c r="D88" s="6">
        <v>498.291</v>
      </c>
      <c r="E88" s="10">
        <f>IFERROR(__xludf.DUMMYFUNCTION("IFERROR(INDEX(GOOGLEFINANCE(""MSFT"", ""close"", A88), 2, 2), """")"),503.81)</f>
        <v>503.81</v>
      </c>
      <c r="F88" s="10" t="b">
        <f t="shared" si="1"/>
        <v>1</v>
      </c>
      <c r="G88" s="10" t="b">
        <f t="shared" si="2"/>
        <v>1</v>
      </c>
      <c r="H88" s="2" t="b">
        <f t="shared" si="3"/>
        <v>1</v>
      </c>
    </row>
    <row r="89">
      <c r="A89" s="4">
        <v>46246.0</v>
      </c>
      <c r="B89" s="6">
        <v>381.772</v>
      </c>
      <c r="C89" s="6">
        <v>444.135</v>
      </c>
      <c r="D89" s="6">
        <v>501.514</v>
      </c>
      <c r="E89" s="10">
        <f>IFERROR(__xludf.DUMMYFUNCTION("IFERROR(INDEX(GOOGLEFINANCE(""MSFT"", ""close"", A89), 2, 2), """")"),492.43)</f>
        <v>492.43</v>
      </c>
      <c r="F89" s="10" t="b">
        <f t="shared" si="1"/>
        <v>1</v>
      </c>
      <c r="G89" s="10" t="b">
        <f t="shared" si="2"/>
        <v>1</v>
      </c>
      <c r="H89" s="2" t="b">
        <f t="shared" si="3"/>
        <v>0</v>
      </c>
    </row>
    <row r="90">
      <c r="A90" s="4">
        <v>46247.0</v>
      </c>
      <c r="B90" s="6">
        <v>376.252</v>
      </c>
      <c r="C90" s="6">
        <v>439.221</v>
      </c>
      <c r="D90" s="6">
        <v>494.78</v>
      </c>
      <c r="E90" s="10">
        <f>IFERROR(__xludf.DUMMYFUNCTION("IFERROR(INDEX(GOOGLEFINANCE(""MSFT"", ""close"", A90), 2, 2), """")"),496.88)</f>
        <v>496.88</v>
      </c>
      <c r="F90" s="10" t="b">
        <f t="shared" si="1"/>
        <v>1</v>
      </c>
      <c r="G90" s="10" t="b">
        <f t="shared" si="2"/>
        <v>1</v>
      </c>
      <c r="H90" s="2" t="b">
        <f t="shared" si="3"/>
        <v>1</v>
      </c>
    </row>
    <row r="91">
      <c r="A91" s="4">
        <v>46248.0</v>
      </c>
      <c r="B91" s="6">
        <v>252.204</v>
      </c>
      <c r="C91" s="6">
        <v>424.701</v>
      </c>
      <c r="D91" s="6">
        <v>485.602</v>
      </c>
      <c r="E91" s="10">
        <f>IFERROR(__xludf.DUMMYFUNCTION("IFERROR(INDEX(GOOGLEFINANCE(""MSFT"", ""close"", A91), 2, 2), """")"),495.4)</f>
        <v>495.4</v>
      </c>
      <c r="F91" s="10" t="b">
        <f t="shared" si="1"/>
        <v>1</v>
      </c>
      <c r="G91" s="10" t="b">
        <f t="shared" si="2"/>
        <v>1</v>
      </c>
      <c r="H91" s="2" t="b">
        <f t="shared" si="3"/>
        <v>1</v>
      </c>
    </row>
    <row r="92">
      <c r="A92" s="4">
        <v>46251.0</v>
      </c>
      <c r="B92" s="6">
        <v>360.384</v>
      </c>
      <c r="C92" s="6">
        <v>439.461</v>
      </c>
      <c r="D92" s="6">
        <v>488.588</v>
      </c>
      <c r="E92" s="10">
        <f>IFERROR(__xludf.DUMMYFUNCTION("IFERROR(INDEX(GOOGLEFINANCE(""MSFT"", ""close"", A92), 2, 2), """")"),480.35)</f>
        <v>480.35</v>
      </c>
      <c r="F92" s="10" t="b">
        <f t="shared" si="1"/>
        <v>1</v>
      </c>
      <c r="G92" s="10" t="b">
        <f t="shared" si="2"/>
        <v>1</v>
      </c>
      <c r="H92" s="2" t="b">
        <f t="shared" si="3"/>
        <v>0</v>
      </c>
    </row>
    <row r="93">
      <c r="A93" s="4">
        <v>46252.0</v>
      </c>
      <c r="B93" s="6">
        <v>379.652</v>
      </c>
      <c r="C93" s="6">
        <v>448.637</v>
      </c>
      <c r="D93" s="6">
        <v>503.398</v>
      </c>
      <c r="E93" s="10">
        <f>IFERROR(__xludf.DUMMYFUNCTION("IFERROR(INDEX(GOOGLEFINANCE(""MSFT"", ""close"", A93), 2, 2), """")"),481.63)</f>
        <v>481.63</v>
      </c>
      <c r="F93" s="10" t="b">
        <f t="shared" si="1"/>
        <v>1</v>
      </c>
      <c r="G93" s="10" t="b">
        <f t="shared" si="2"/>
        <v>1</v>
      </c>
      <c r="H93" s="2" t="b">
        <f t="shared" si="3"/>
        <v>0</v>
      </c>
    </row>
    <row r="94">
      <c r="A94" s="4">
        <v>46253.0</v>
      </c>
      <c r="B94" s="6">
        <v>388.609</v>
      </c>
      <c r="C94" s="6">
        <v>445.969</v>
      </c>
      <c r="D94" s="6">
        <v>495.489</v>
      </c>
      <c r="E94" s="10">
        <f>IFERROR(__xludf.DUMMYFUNCTION("IFERROR(INDEX(GOOGLEFINANCE(""MSFT"", ""close"", A94), 2, 2), """")"),484.31)</f>
        <v>484.31</v>
      </c>
      <c r="F94" s="10" t="b">
        <f t="shared" si="1"/>
        <v>1</v>
      </c>
      <c r="G94" s="10" t="b">
        <f t="shared" si="2"/>
        <v>1</v>
      </c>
      <c r="H94" s="2" t="b">
        <f t="shared" si="3"/>
        <v>0</v>
      </c>
    </row>
    <row r="95">
      <c r="A95" s="4">
        <v>46254.0</v>
      </c>
      <c r="B95" s="6">
        <v>372.683</v>
      </c>
      <c r="C95" s="6">
        <v>441.941</v>
      </c>
      <c r="D95" s="6">
        <v>499.223</v>
      </c>
      <c r="E95" s="10">
        <f>IFERROR(__xludf.DUMMYFUNCTION("IFERROR(INDEX(GOOGLEFINANCE(""MSFT"", ""close"", A95), 2, 2), """")"),481.15)</f>
        <v>481.15</v>
      </c>
      <c r="F95" s="10" t="b">
        <f t="shared" si="1"/>
        <v>1</v>
      </c>
      <c r="G95" s="10" t="b">
        <f t="shared" si="2"/>
        <v>1</v>
      </c>
      <c r="H95" s="2" t="b">
        <f t="shared" si="3"/>
        <v>0</v>
      </c>
    </row>
    <row r="96">
      <c r="A96" s="4">
        <v>46255.0</v>
      </c>
      <c r="B96" s="6">
        <v>270.261</v>
      </c>
      <c r="C96" s="6">
        <v>460.701</v>
      </c>
      <c r="D96" s="6">
        <v>513.542</v>
      </c>
      <c r="E96" s="10">
        <f>IFERROR(__xludf.DUMMYFUNCTION("IFERROR(INDEX(GOOGLEFINANCE(""MSFT"", ""close"", A96), 2, 2), """")"),483.24)</f>
        <v>483.24</v>
      </c>
      <c r="F96" s="10" t="b">
        <f t="shared" si="1"/>
        <v>1</v>
      </c>
      <c r="G96" s="10" t="b">
        <f t="shared" si="2"/>
        <v>1</v>
      </c>
      <c r="H96" s="2" t="b">
        <f t="shared" si="3"/>
        <v>0</v>
      </c>
    </row>
    <row r="97">
      <c r="A97" s="4">
        <v>46258.0</v>
      </c>
      <c r="B97" s="6">
        <v>361.575</v>
      </c>
      <c r="C97" s="6">
        <v>444.338</v>
      </c>
      <c r="D97" s="6">
        <v>497.654</v>
      </c>
      <c r="E97" s="10">
        <f>IFERROR(__xludf.DUMMYFUNCTION("IFERROR(INDEX(GOOGLEFINANCE(""MSFT"", ""close"", A97), 2, 2), """")"),487.31)</f>
        <v>487.31</v>
      </c>
      <c r="F97" s="10" t="b">
        <f t="shared" si="1"/>
        <v>1</v>
      </c>
      <c r="G97" s="10" t="b">
        <f t="shared" si="2"/>
        <v>1</v>
      </c>
      <c r="H97" s="2" t="b">
        <f t="shared" si="3"/>
        <v>0</v>
      </c>
    </row>
    <row r="98">
      <c r="A98" s="4">
        <v>46259.0</v>
      </c>
      <c r="B98" s="6">
        <v>380.494</v>
      </c>
      <c r="C98" s="6">
        <v>447.662</v>
      </c>
      <c r="D98" s="6">
        <v>489.833</v>
      </c>
      <c r="E98" s="10">
        <f>IFERROR(__xludf.DUMMYFUNCTION("IFERROR(INDEX(GOOGLEFINANCE(""MSFT"", ""close"", A98), 2, 2), """")"),491.71)</f>
        <v>491.71</v>
      </c>
      <c r="F98" s="10" t="b">
        <f t="shared" si="1"/>
        <v>1</v>
      </c>
      <c r="G98" s="10" t="b">
        <f t="shared" si="2"/>
        <v>1</v>
      </c>
      <c r="H98" s="2" t="b">
        <f t="shared" si="3"/>
        <v>1</v>
      </c>
    </row>
    <row r="99">
      <c r="A99" s="4">
        <v>46260.0</v>
      </c>
      <c r="B99" s="6">
        <v>381.017</v>
      </c>
      <c r="C99" s="6">
        <v>442.743</v>
      </c>
      <c r="D99" s="6">
        <v>499.186</v>
      </c>
      <c r="E99" s="10">
        <f>IFERROR(__xludf.DUMMYFUNCTION("IFERROR(INDEX(GOOGLEFINANCE(""MSFT"", ""close"", A99), 2, 2), """")"),496.37)</f>
        <v>496.37</v>
      </c>
      <c r="F99" s="10" t="b">
        <f t="shared" si="1"/>
        <v>1</v>
      </c>
      <c r="G99" s="10" t="b">
        <f t="shared" si="2"/>
        <v>1</v>
      </c>
      <c r="H99" s="2" t="b">
        <f t="shared" si="3"/>
        <v>0</v>
      </c>
    </row>
    <row r="100">
      <c r="A100" s="4">
        <v>46261.0</v>
      </c>
      <c r="B100" s="6">
        <v>380.158</v>
      </c>
      <c r="C100" s="6">
        <v>442.542</v>
      </c>
      <c r="D100" s="6">
        <v>494.629</v>
      </c>
      <c r="E100" s="10">
        <f>IFERROR(__xludf.DUMMYFUNCTION("IFERROR(INDEX(GOOGLEFINANCE(""MSFT"", ""close"", A100), 2, 2), """")"),505.06)</f>
        <v>505.06</v>
      </c>
      <c r="F100" s="10" t="b">
        <f t="shared" si="1"/>
        <v>1</v>
      </c>
      <c r="G100" s="10" t="b">
        <f t="shared" si="2"/>
        <v>1</v>
      </c>
      <c r="H100" s="2" t="b">
        <f t="shared" si="3"/>
        <v>1</v>
      </c>
    </row>
    <row r="101">
      <c r="A101" s="4">
        <v>46262.0</v>
      </c>
      <c r="B101" s="6">
        <v>236.738</v>
      </c>
      <c r="C101" s="6">
        <v>433.053</v>
      </c>
      <c r="D101" s="6">
        <v>491.683</v>
      </c>
      <c r="E101" s="10">
        <f>IFERROR(__xludf.DUMMYFUNCTION("IFERROR(INDEX(GOOGLEFINANCE(""MSFT"", ""close"", A101), 2, 2), """")"),513.53)</f>
        <v>513.53</v>
      </c>
      <c r="F101" s="10" t="b">
        <f t="shared" si="1"/>
        <v>1</v>
      </c>
      <c r="G101" s="10" t="b">
        <f t="shared" si="2"/>
        <v>1</v>
      </c>
      <c r="H101" s="2" t="b">
        <f t="shared" si="3"/>
        <v>1</v>
      </c>
    </row>
    <row r="102">
      <c r="A102" s="4">
        <v>46265.0</v>
      </c>
      <c r="B102" s="6">
        <v>343.088</v>
      </c>
      <c r="C102" s="6">
        <v>420.553</v>
      </c>
      <c r="D102" s="6">
        <v>469.435</v>
      </c>
      <c r="E102" s="10">
        <f>IFERROR(__xludf.DUMMYFUNCTION("IFERROR(INDEX(GOOGLEFINANCE(""MSFT"", ""close"", A102), 2, 2), """")"),507.29)</f>
        <v>507.29</v>
      </c>
      <c r="F102" s="10" t="b">
        <f t="shared" si="1"/>
        <v>1</v>
      </c>
      <c r="G102" s="10" t="b">
        <f t="shared" si="2"/>
        <v>1</v>
      </c>
      <c r="H102" s="2" t="b">
        <f t="shared" si="3"/>
        <v>1</v>
      </c>
    </row>
    <row r="103">
      <c r="A103" s="4">
        <v>46266.0</v>
      </c>
      <c r="B103" s="6">
        <v>373.441</v>
      </c>
      <c r="C103" s="6">
        <v>439.76</v>
      </c>
      <c r="D103" s="6">
        <v>488.434</v>
      </c>
      <c r="E103" s="10">
        <f>IFERROR(__xludf.DUMMYFUNCTION("IFERROR(INDEX(GOOGLEFINANCE(""MSFT"", ""close"", A103), 2, 2), """")"),501.02)</f>
        <v>501.02</v>
      </c>
      <c r="F103" s="10" t="b">
        <f t="shared" si="1"/>
        <v>1</v>
      </c>
      <c r="G103" s="10" t="b">
        <f t="shared" si="2"/>
        <v>1</v>
      </c>
      <c r="H103" s="2" t="b">
        <f t="shared" si="3"/>
        <v>1</v>
      </c>
    </row>
    <row r="104">
      <c r="A104" s="4">
        <v>46267.0</v>
      </c>
      <c r="B104" s="6">
        <v>382.625</v>
      </c>
      <c r="C104" s="6">
        <v>456.437</v>
      </c>
      <c r="D104" s="6">
        <v>509.545</v>
      </c>
      <c r="E104" s="10">
        <f>IFERROR(__xludf.DUMMYFUNCTION("IFERROR(INDEX(GOOGLEFINANCE(""MSFT"", ""close"", A104), 2, 2), """")"),496.82)</f>
        <v>496.82</v>
      </c>
      <c r="F104" s="10" t="b">
        <f t="shared" si="1"/>
        <v>1</v>
      </c>
      <c r="G104" s="10" t="b">
        <f t="shared" si="2"/>
        <v>1</v>
      </c>
      <c r="H104" s="2" t="b">
        <f t="shared" si="3"/>
        <v>0</v>
      </c>
    </row>
    <row r="105">
      <c r="A105" s="4">
        <v>46268.0</v>
      </c>
      <c r="B105" s="6">
        <v>371.498</v>
      </c>
      <c r="C105" s="6">
        <v>454.068</v>
      </c>
      <c r="D105" s="6">
        <v>504.822</v>
      </c>
      <c r="E105" s="10" t="str">
        <f>IFERROR(__xludf.DUMMYFUNCTION("IFERROR(INDEX(GOOGLEFINANCE(""MSFT"", ""close"", A105), 2, 2), """")"),"")</f>
        <v/>
      </c>
      <c r="F105" s="10" t="str">
        <f t="shared" si="1"/>
        <v/>
      </c>
      <c r="G105" s="10" t="str">
        <f t="shared" si="2"/>
        <v/>
      </c>
      <c r="H105" s="2" t="str">
        <f t="shared" si="3"/>
        <v/>
      </c>
    </row>
    <row r="106">
      <c r="A106" s="4">
        <v>46269.0</v>
      </c>
      <c r="B106" s="6">
        <v>255.476</v>
      </c>
      <c r="C106" s="6">
        <v>432.386</v>
      </c>
      <c r="D106" s="6">
        <v>495.765</v>
      </c>
      <c r="E106" s="10" t="str">
        <f>IFERROR(__xludf.DUMMYFUNCTION("IFERROR(INDEX(GOOGLEFINANCE(""MSFT"", ""close"", A106), 2, 2), """")"),"")</f>
        <v/>
      </c>
      <c r="F106" s="10" t="str">
        <f t="shared" si="1"/>
        <v/>
      </c>
      <c r="G106" s="10" t="str">
        <f t="shared" si="2"/>
        <v/>
      </c>
      <c r="H106" s="2" t="str">
        <f t="shared" si="3"/>
        <v/>
      </c>
    </row>
    <row r="107">
      <c r="A107" s="4">
        <v>46273.0</v>
      </c>
      <c r="B107" s="6">
        <v>402.996</v>
      </c>
      <c r="C107" s="6">
        <v>434.345</v>
      </c>
      <c r="D107" s="6">
        <v>486.004</v>
      </c>
      <c r="E107" s="10" t="str">
        <f>IFERROR(__xludf.DUMMYFUNCTION("IFERROR(INDEX(GOOGLEFINANCE(""MSFT"", ""close"", A107), 2, 2), """")"),"")</f>
        <v/>
      </c>
      <c r="F107" s="10" t="str">
        <f t="shared" si="1"/>
        <v/>
      </c>
      <c r="G107" s="10" t="str">
        <f t="shared" si="2"/>
        <v/>
      </c>
      <c r="H107" s="2" t="str">
        <f t="shared" si="3"/>
        <v/>
      </c>
    </row>
    <row r="108">
      <c r="A108" s="4">
        <v>46274.0</v>
      </c>
      <c r="B108" s="6">
        <v>381.835</v>
      </c>
      <c r="C108" s="6">
        <v>447.239</v>
      </c>
      <c r="D108" s="6">
        <v>494.018</v>
      </c>
      <c r="E108" s="10" t="str">
        <f>IFERROR(__xludf.DUMMYFUNCTION("IFERROR(INDEX(GOOGLEFINANCE(""MSFT"", ""close"", A108), 2, 2), """")"),"")</f>
        <v/>
      </c>
      <c r="F108" s="10" t="str">
        <f t="shared" si="1"/>
        <v/>
      </c>
      <c r="G108" s="10" t="str">
        <f t="shared" si="2"/>
        <v/>
      </c>
      <c r="H108" s="2" t="str">
        <f t="shared" si="3"/>
        <v/>
      </c>
    </row>
    <row r="109">
      <c r="A109" s="4">
        <v>46275.0</v>
      </c>
      <c r="B109" s="6">
        <v>395.625</v>
      </c>
      <c r="C109" s="6">
        <v>445.778</v>
      </c>
      <c r="D109" s="6">
        <v>498.792</v>
      </c>
      <c r="E109" s="10" t="str">
        <f>IFERROR(__xludf.DUMMYFUNCTION("IFERROR(INDEX(GOOGLEFINANCE(""MSFT"", ""close"", A109), 2, 2), """")"),"")</f>
        <v/>
      </c>
      <c r="F109" s="10" t="str">
        <f t="shared" si="1"/>
        <v/>
      </c>
      <c r="G109" s="10" t="str">
        <f t="shared" si="2"/>
        <v/>
      </c>
      <c r="H109" s="2" t="str">
        <f t="shared" si="3"/>
        <v/>
      </c>
    </row>
    <row r="110">
      <c r="A110" s="4">
        <v>46276.0</v>
      </c>
      <c r="B110" s="6">
        <v>246.529</v>
      </c>
      <c r="C110" s="6">
        <v>424.281</v>
      </c>
      <c r="D110" s="6">
        <v>479.259</v>
      </c>
      <c r="E110" s="10" t="str">
        <f>IFERROR(__xludf.DUMMYFUNCTION("IFERROR(INDEX(GOOGLEFINANCE(""MSFT"", ""close"", A110), 2, 2), """")"),"")</f>
        <v/>
      </c>
      <c r="F110" s="10" t="str">
        <f t="shared" si="1"/>
        <v/>
      </c>
      <c r="G110" s="10" t="str">
        <f t="shared" si="2"/>
        <v/>
      </c>
      <c r="H110" s="2" t="str">
        <f t="shared" si="3"/>
        <v/>
      </c>
    </row>
    <row r="111">
      <c r="A111" s="4">
        <v>46279.0</v>
      </c>
      <c r="B111" s="6">
        <v>361.226</v>
      </c>
      <c r="C111" s="6">
        <v>443.45</v>
      </c>
      <c r="D111" s="6">
        <v>496.847</v>
      </c>
      <c r="E111" s="10" t="str">
        <f>IFERROR(__xludf.DUMMYFUNCTION("IFERROR(INDEX(GOOGLEFINANCE(""MSFT"", ""close"", A111), 2, 2), """")"),"")</f>
        <v/>
      </c>
      <c r="F111" s="10" t="str">
        <f t="shared" si="1"/>
        <v/>
      </c>
      <c r="G111" s="10" t="str">
        <f t="shared" si="2"/>
        <v/>
      </c>
      <c r="H111" s="2" t="str">
        <f t="shared" si="3"/>
        <v/>
      </c>
    </row>
    <row r="112">
      <c r="A112" s="4">
        <v>46280.0</v>
      </c>
      <c r="B112" s="6">
        <v>401.972</v>
      </c>
      <c r="C112" s="6">
        <v>453.419</v>
      </c>
      <c r="D112" s="6">
        <v>495.229</v>
      </c>
      <c r="E112" s="10" t="str">
        <f>IFERROR(__xludf.DUMMYFUNCTION("IFERROR(INDEX(GOOGLEFINANCE(""MSFT"", ""close"", A112), 2, 2), """")"),"")</f>
        <v/>
      </c>
      <c r="F112" s="10" t="str">
        <f t="shared" si="1"/>
        <v/>
      </c>
      <c r="G112" s="10" t="str">
        <f t="shared" si="2"/>
        <v/>
      </c>
      <c r="H112" s="2" t="str">
        <f t="shared" si="3"/>
        <v/>
      </c>
    </row>
    <row r="113">
      <c r="A113" s="4">
        <v>46281.0</v>
      </c>
      <c r="B113" s="6">
        <v>384.161</v>
      </c>
      <c r="C113" s="6">
        <v>450.003</v>
      </c>
      <c r="D113" s="6">
        <v>488.571</v>
      </c>
      <c r="E113" s="10" t="str">
        <f>IFERROR(__xludf.DUMMYFUNCTION("IFERROR(INDEX(GOOGLEFINANCE(""MSFT"", ""close"", A113), 2, 2), """")"),"")</f>
        <v/>
      </c>
      <c r="F113" s="10" t="str">
        <f t="shared" si="1"/>
        <v/>
      </c>
      <c r="G113" s="10" t="str">
        <f t="shared" si="2"/>
        <v/>
      </c>
      <c r="H113" s="2" t="str">
        <f t="shared" si="3"/>
        <v/>
      </c>
    </row>
    <row r="114">
      <c r="A114" s="4">
        <v>46282.0</v>
      </c>
      <c r="B114" s="6">
        <v>366.829</v>
      </c>
      <c r="C114" s="6">
        <v>453.274</v>
      </c>
      <c r="D114" s="6">
        <v>504.453</v>
      </c>
      <c r="E114" s="10" t="str">
        <f>IFERROR(__xludf.DUMMYFUNCTION("IFERROR(INDEX(GOOGLEFINANCE(""MSFT"", ""close"", A114), 2, 2), """")"),"")</f>
        <v/>
      </c>
      <c r="F114" s="10" t="str">
        <f t="shared" si="1"/>
        <v/>
      </c>
      <c r="G114" s="10" t="str">
        <f t="shared" si="2"/>
        <v/>
      </c>
      <c r="H114" s="2" t="str">
        <f t="shared" si="3"/>
        <v/>
      </c>
    </row>
    <row r="115">
      <c r="A115" s="4">
        <v>46283.0</v>
      </c>
      <c r="B115" s="6">
        <v>233.684</v>
      </c>
      <c r="C115" s="6">
        <v>438.742</v>
      </c>
      <c r="D115" s="6">
        <v>496.676</v>
      </c>
      <c r="E115" s="10" t="str">
        <f>IFERROR(__xludf.DUMMYFUNCTION("IFERROR(INDEX(GOOGLEFINANCE(""MSFT"", ""close"", A115), 2, 2), """")"),"")</f>
        <v/>
      </c>
      <c r="F115" s="10" t="str">
        <f t="shared" si="1"/>
        <v/>
      </c>
      <c r="G115" s="10" t="str">
        <f t="shared" si="2"/>
        <v/>
      </c>
      <c r="H115" s="2" t="str">
        <f t="shared" si="3"/>
        <v/>
      </c>
    </row>
    <row r="116">
      <c r="A116" s="4">
        <v>46286.0</v>
      </c>
      <c r="B116" s="6">
        <v>362.465</v>
      </c>
      <c r="C116" s="6">
        <v>451.109</v>
      </c>
      <c r="D116" s="6">
        <v>493.523</v>
      </c>
      <c r="E116" s="10" t="str">
        <f>IFERROR(__xludf.DUMMYFUNCTION("IFERROR(INDEX(GOOGLEFINANCE(""MSFT"", ""close"", A116), 2, 2), """")"),"")</f>
        <v/>
      </c>
      <c r="F116" s="10" t="str">
        <f t="shared" si="1"/>
        <v/>
      </c>
      <c r="G116" s="10" t="str">
        <f t="shared" si="2"/>
        <v/>
      </c>
      <c r="H116" s="2" t="str">
        <f t="shared" si="3"/>
        <v/>
      </c>
    </row>
    <row r="117">
      <c r="A117" s="4">
        <v>46287.0</v>
      </c>
      <c r="B117" s="6">
        <v>380.904</v>
      </c>
      <c r="C117" s="6">
        <v>452.854</v>
      </c>
      <c r="D117" s="6">
        <v>499.073</v>
      </c>
      <c r="E117" s="10" t="str">
        <f>IFERROR(__xludf.DUMMYFUNCTION("IFERROR(INDEX(GOOGLEFINANCE(""MSFT"", ""close"", A117), 2, 2), """")"),"")</f>
        <v/>
      </c>
      <c r="F117" s="10" t="str">
        <f t="shared" si="1"/>
        <v/>
      </c>
      <c r="G117" s="10" t="str">
        <f t="shared" si="2"/>
        <v/>
      </c>
      <c r="H117" s="2" t="str">
        <f t="shared" si="3"/>
        <v/>
      </c>
    </row>
    <row r="118">
      <c r="A118" s="4">
        <v>46288.0</v>
      </c>
      <c r="B118" s="6">
        <v>380.069</v>
      </c>
      <c r="C118" s="6">
        <v>445.519</v>
      </c>
      <c r="D118" s="6">
        <v>493.226</v>
      </c>
      <c r="E118" s="10" t="str">
        <f>IFERROR(__xludf.DUMMYFUNCTION("IFERROR(INDEX(GOOGLEFINANCE(""MSFT"", ""close"", A118), 2, 2), """")"),"")</f>
        <v/>
      </c>
      <c r="F118" s="10" t="str">
        <f t="shared" si="1"/>
        <v/>
      </c>
      <c r="G118" s="10" t="str">
        <f t="shared" si="2"/>
        <v/>
      </c>
      <c r="H118" s="2" t="str">
        <f t="shared" si="3"/>
        <v/>
      </c>
    </row>
    <row r="119">
      <c r="A119" s="4">
        <v>46289.0</v>
      </c>
      <c r="B119" s="6">
        <v>361.787</v>
      </c>
      <c r="C119" s="6">
        <v>445.014</v>
      </c>
      <c r="D119" s="6">
        <v>487.672</v>
      </c>
      <c r="E119" s="10" t="str">
        <f>IFERROR(__xludf.DUMMYFUNCTION("IFERROR(INDEX(GOOGLEFINANCE(""MSFT"", ""close"", A119), 2, 2), """")"),"")</f>
        <v/>
      </c>
      <c r="F119" s="10" t="str">
        <f t="shared" si="1"/>
        <v/>
      </c>
      <c r="G119" s="10" t="str">
        <f t="shared" si="2"/>
        <v/>
      </c>
      <c r="H119" s="2" t="str">
        <f t="shared" si="3"/>
        <v/>
      </c>
    </row>
    <row r="120">
      <c r="A120" s="4">
        <v>46290.0</v>
      </c>
      <c r="B120" s="6">
        <v>257.324</v>
      </c>
      <c r="C120" s="6">
        <v>434.654</v>
      </c>
      <c r="D120" s="6">
        <v>491.385</v>
      </c>
      <c r="E120" s="10" t="str">
        <f>IFERROR(__xludf.DUMMYFUNCTION("IFERROR(INDEX(GOOGLEFINANCE(""MSFT"", ""close"", A120), 2, 2), """")"),"")</f>
        <v/>
      </c>
      <c r="F120" s="10" t="str">
        <f t="shared" si="1"/>
        <v/>
      </c>
      <c r="G120" s="10" t="str">
        <f t="shared" si="2"/>
        <v/>
      </c>
      <c r="H120" s="2" t="str">
        <f t="shared" si="3"/>
        <v/>
      </c>
    </row>
    <row r="121">
      <c r="A121" s="4">
        <v>46293.0</v>
      </c>
      <c r="B121" s="6">
        <v>363.09</v>
      </c>
      <c r="C121" s="6">
        <v>453.463</v>
      </c>
      <c r="D121" s="6">
        <v>499.787</v>
      </c>
      <c r="E121" s="10" t="str">
        <f>IFERROR(__xludf.DUMMYFUNCTION("IFERROR(INDEX(GOOGLEFINANCE(""MSFT"", ""close"", A121), 2, 2), """")"),"")</f>
        <v/>
      </c>
      <c r="F121" s="10" t="str">
        <f t="shared" si="1"/>
        <v/>
      </c>
      <c r="G121" s="10" t="str">
        <f t="shared" si="2"/>
        <v/>
      </c>
      <c r="H121" s="2" t="str">
        <f t="shared" si="3"/>
        <v/>
      </c>
    </row>
    <row r="122">
      <c r="A122" s="4">
        <v>46294.0</v>
      </c>
      <c r="B122" s="6">
        <v>389.635</v>
      </c>
      <c r="C122" s="6">
        <v>447.727</v>
      </c>
      <c r="D122" s="6">
        <v>500.78</v>
      </c>
      <c r="E122" s="10" t="str">
        <f>IFERROR(__xludf.DUMMYFUNCTION("IFERROR(INDEX(GOOGLEFINANCE(""MSFT"", ""close"", A122), 2, 2), """")"),"")</f>
        <v/>
      </c>
      <c r="F122" s="10" t="str">
        <f t="shared" si="1"/>
        <v/>
      </c>
      <c r="G122" s="10" t="str">
        <f t="shared" si="2"/>
        <v/>
      </c>
      <c r="H122" s="2" t="str">
        <f t="shared" si="3"/>
        <v/>
      </c>
    </row>
    <row r="123">
      <c r="A123" s="4">
        <v>46295.0</v>
      </c>
      <c r="B123" s="6">
        <v>392.871</v>
      </c>
      <c r="C123" s="6">
        <v>462.801</v>
      </c>
      <c r="D123" s="6">
        <v>510.994</v>
      </c>
      <c r="E123" s="10" t="str">
        <f>IFERROR(__xludf.DUMMYFUNCTION("IFERROR(INDEX(GOOGLEFINANCE(""MSFT"", ""close"", A123), 2, 2), """")"),"")</f>
        <v/>
      </c>
      <c r="F123" s="10" t="str">
        <f t="shared" si="1"/>
        <v/>
      </c>
      <c r="G123" s="10" t="str">
        <f t="shared" si="2"/>
        <v/>
      </c>
      <c r="H123" s="2" t="str">
        <f t="shared" si="3"/>
        <v/>
      </c>
    </row>
    <row r="124">
      <c r="A124" s="4">
        <v>46296.0</v>
      </c>
      <c r="B124" s="6">
        <v>355.231</v>
      </c>
      <c r="C124" s="6">
        <v>439.321</v>
      </c>
      <c r="D124" s="6">
        <v>486.31</v>
      </c>
      <c r="E124" s="10" t="str">
        <f>IFERROR(__xludf.DUMMYFUNCTION("IFERROR(INDEX(GOOGLEFINANCE(""MSFT"", ""close"", A124), 2, 2), """")"),"")</f>
        <v/>
      </c>
      <c r="F124" s="10" t="str">
        <f t="shared" si="1"/>
        <v/>
      </c>
      <c r="G124" s="10" t="str">
        <f t="shared" si="2"/>
        <v/>
      </c>
      <c r="H124" s="2" t="str">
        <f t="shared" si="3"/>
        <v/>
      </c>
    </row>
    <row r="125">
      <c r="A125" s="4">
        <v>46297.0</v>
      </c>
      <c r="B125" s="6">
        <v>232.635</v>
      </c>
      <c r="C125" s="6">
        <v>434.506</v>
      </c>
      <c r="D125" s="6">
        <v>481.139</v>
      </c>
      <c r="E125" s="10" t="str">
        <f>IFERROR(__xludf.DUMMYFUNCTION("IFERROR(INDEX(GOOGLEFINANCE(""MSFT"", ""close"", A125), 2, 2), """")"),"")</f>
        <v/>
      </c>
      <c r="F125" s="10" t="str">
        <f t="shared" si="1"/>
        <v/>
      </c>
      <c r="G125" s="10" t="str">
        <f t="shared" si="2"/>
        <v/>
      </c>
      <c r="H125" s="2" t="str">
        <f t="shared" si="3"/>
        <v/>
      </c>
    </row>
    <row r="126">
      <c r="A126" s="4">
        <v>46300.0</v>
      </c>
      <c r="B126" s="6">
        <v>357.692</v>
      </c>
      <c r="C126" s="6">
        <v>454.287</v>
      </c>
      <c r="D126" s="6">
        <v>500.663</v>
      </c>
      <c r="E126" s="10" t="str">
        <f>IFERROR(__xludf.DUMMYFUNCTION("IFERROR(INDEX(GOOGLEFINANCE(""MSFT"", ""close"", A126), 2, 2), """")"),"")</f>
        <v/>
      </c>
      <c r="F126" s="10" t="str">
        <f t="shared" si="1"/>
        <v/>
      </c>
      <c r="G126" s="10" t="str">
        <f t="shared" si="2"/>
        <v/>
      </c>
      <c r="H126" s="2" t="str">
        <f t="shared" si="3"/>
        <v/>
      </c>
    </row>
    <row r="127">
      <c r="A127" s="4">
        <v>46301.0</v>
      </c>
      <c r="B127" s="6">
        <v>400.672</v>
      </c>
      <c r="C127" s="6">
        <v>466.145</v>
      </c>
      <c r="D127" s="6">
        <v>513.183</v>
      </c>
      <c r="E127" s="10" t="str">
        <f>IFERROR(__xludf.DUMMYFUNCTION("IFERROR(INDEX(GOOGLEFINANCE(""MSFT"", ""close"", A127), 2, 2), """")"),"")</f>
        <v/>
      </c>
      <c r="F127" s="10" t="str">
        <f t="shared" si="1"/>
        <v/>
      </c>
      <c r="G127" s="10" t="str">
        <f t="shared" si="2"/>
        <v/>
      </c>
      <c r="H127" s="2" t="str">
        <f t="shared" si="3"/>
        <v/>
      </c>
    </row>
    <row r="128">
      <c r="A128" s="4">
        <v>46302.0</v>
      </c>
      <c r="B128" s="6">
        <v>390.39</v>
      </c>
      <c r="C128" s="6">
        <v>457.629</v>
      </c>
      <c r="D128" s="6">
        <v>499.947</v>
      </c>
      <c r="E128" s="10" t="str">
        <f>IFERROR(__xludf.DUMMYFUNCTION("IFERROR(INDEX(GOOGLEFINANCE(""MSFT"", ""close"", A128), 2, 2), """")"),"")</f>
        <v/>
      </c>
      <c r="F128" s="10" t="str">
        <f t="shared" si="1"/>
        <v/>
      </c>
      <c r="G128" s="10" t="str">
        <f t="shared" si="2"/>
        <v/>
      </c>
      <c r="H128" s="2" t="str">
        <f t="shared" si="3"/>
        <v/>
      </c>
    </row>
    <row r="129">
      <c r="A129" s="4">
        <v>46303.0</v>
      </c>
      <c r="B129" s="6">
        <v>399.52</v>
      </c>
      <c r="C129" s="6">
        <v>456.855</v>
      </c>
      <c r="D129" s="6">
        <v>507.955</v>
      </c>
      <c r="E129" s="10" t="str">
        <f>IFERROR(__xludf.DUMMYFUNCTION("IFERROR(INDEX(GOOGLEFINANCE(""MSFT"", ""close"", A129), 2, 2), """")"),"")</f>
        <v/>
      </c>
      <c r="F129" s="10" t="str">
        <f t="shared" si="1"/>
        <v/>
      </c>
      <c r="G129" s="10" t="str">
        <f t="shared" si="2"/>
        <v/>
      </c>
      <c r="H129" s="2" t="str">
        <f t="shared" si="3"/>
        <v/>
      </c>
    </row>
    <row r="130">
      <c r="A130" s="4">
        <v>46304.0</v>
      </c>
      <c r="B130" s="6">
        <v>257.515</v>
      </c>
      <c r="C130" s="6">
        <v>437.393</v>
      </c>
      <c r="D130" s="6">
        <v>482.884</v>
      </c>
      <c r="E130" s="10" t="str">
        <f>IFERROR(__xludf.DUMMYFUNCTION("IFERROR(INDEX(GOOGLEFINANCE(""MSFT"", ""close"", A130), 2, 2), """")"),"")</f>
        <v/>
      </c>
      <c r="F130" s="10" t="str">
        <f t="shared" si="1"/>
        <v/>
      </c>
      <c r="G130" s="10" t="str">
        <f t="shared" si="2"/>
        <v/>
      </c>
      <c r="H130" s="2" t="str">
        <f t="shared" si="3"/>
        <v/>
      </c>
    </row>
    <row r="131">
      <c r="A131" s="4">
        <v>46307.0</v>
      </c>
      <c r="B131" s="6">
        <v>356.194</v>
      </c>
      <c r="C131" s="6">
        <v>443.773</v>
      </c>
      <c r="D131" s="6">
        <v>490.863</v>
      </c>
      <c r="E131" s="10" t="str">
        <f>IFERROR(__xludf.DUMMYFUNCTION("IFERROR(INDEX(GOOGLEFINANCE(""MSFT"", ""close"", A131), 2, 2), """")"),"")</f>
        <v/>
      </c>
      <c r="F131" s="10" t="str">
        <f t="shared" si="1"/>
        <v/>
      </c>
      <c r="G131" s="10" t="str">
        <f t="shared" si="2"/>
        <v/>
      </c>
      <c r="H131" s="2" t="str">
        <f t="shared" si="3"/>
        <v/>
      </c>
    </row>
    <row r="132">
      <c r="A132" s="4">
        <v>46308.0</v>
      </c>
      <c r="B132" s="6">
        <v>392.68</v>
      </c>
      <c r="C132" s="6">
        <v>462.102</v>
      </c>
      <c r="D132" s="6">
        <v>504.986</v>
      </c>
      <c r="E132" s="10" t="str">
        <f>IFERROR(__xludf.DUMMYFUNCTION("IFERROR(INDEX(GOOGLEFINANCE(""MSFT"", ""close"", A132), 2, 2), """")"),"")</f>
        <v/>
      </c>
      <c r="F132" s="10" t="str">
        <f t="shared" si="1"/>
        <v/>
      </c>
      <c r="G132" s="10" t="str">
        <f t="shared" si="2"/>
        <v/>
      </c>
      <c r="H132" s="2" t="str">
        <f t="shared" si="3"/>
        <v/>
      </c>
    </row>
    <row r="133">
      <c r="A133" s="4">
        <v>46309.0</v>
      </c>
      <c r="B133" s="6">
        <v>394.513</v>
      </c>
      <c r="C133" s="6">
        <v>461.237</v>
      </c>
      <c r="D133" s="6">
        <v>509.612</v>
      </c>
      <c r="E133" s="10" t="str">
        <f>IFERROR(__xludf.DUMMYFUNCTION("IFERROR(INDEX(GOOGLEFINANCE(""MSFT"", ""close"", A133), 2, 2), """")"),"")</f>
        <v/>
      </c>
      <c r="F133" s="10" t="str">
        <f t="shared" si="1"/>
        <v/>
      </c>
      <c r="G133" s="10" t="str">
        <f t="shared" si="2"/>
        <v/>
      </c>
      <c r="H133" s="2" t="str">
        <f t="shared" si="3"/>
        <v/>
      </c>
    </row>
    <row r="134">
      <c r="A134" s="4">
        <v>46310.0</v>
      </c>
      <c r="B134" s="6">
        <v>400.119</v>
      </c>
      <c r="C134" s="6">
        <v>502.001</v>
      </c>
      <c r="D134" s="6">
        <v>564.164</v>
      </c>
      <c r="E134" s="10" t="str">
        <f>IFERROR(__xludf.DUMMYFUNCTION("IFERROR(INDEX(GOOGLEFINANCE(""MSFT"", ""close"", A134), 2, 2), """")"),"")</f>
        <v/>
      </c>
      <c r="F134" s="10" t="str">
        <f t="shared" si="1"/>
        <v/>
      </c>
      <c r="G134" s="10" t="str">
        <f t="shared" si="2"/>
        <v/>
      </c>
      <c r="H134" s="2" t="str">
        <f t="shared" si="3"/>
        <v/>
      </c>
    </row>
    <row r="135">
      <c r="A135" s="4">
        <v>46311.0</v>
      </c>
      <c r="B135" s="6">
        <v>238.037</v>
      </c>
      <c r="C135" s="6">
        <v>423.352</v>
      </c>
      <c r="D135" s="6">
        <v>470.717</v>
      </c>
      <c r="E135" s="10" t="str">
        <f>IFERROR(__xludf.DUMMYFUNCTION("IFERROR(INDEX(GOOGLEFINANCE(""MSFT"", ""close"", A135), 2, 2), """")"),"")</f>
        <v/>
      </c>
      <c r="F135" s="10" t="str">
        <f t="shared" si="1"/>
        <v/>
      </c>
      <c r="G135" s="10" t="str">
        <f t="shared" si="2"/>
        <v/>
      </c>
      <c r="H135" s="2" t="str">
        <f t="shared" si="3"/>
        <v/>
      </c>
    </row>
    <row r="136">
      <c r="A136" s="4">
        <v>46314.0</v>
      </c>
      <c r="B136" s="6">
        <v>356.709</v>
      </c>
      <c r="C136" s="6">
        <v>445.187</v>
      </c>
      <c r="D136" s="6">
        <v>495.179</v>
      </c>
      <c r="E136" s="10" t="str">
        <f>IFERROR(__xludf.DUMMYFUNCTION("IFERROR(INDEX(GOOGLEFINANCE(""MSFT"", ""close"", A136), 2, 2), """")"),"")</f>
        <v/>
      </c>
      <c r="F136" s="10" t="str">
        <f t="shared" si="1"/>
        <v/>
      </c>
      <c r="G136" s="10" t="str">
        <f t="shared" si="2"/>
        <v/>
      </c>
      <c r="H136" s="2" t="str">
        <f t="shared" si="3"/>
        <v/>
      </c>
    </row>
    <row r="137">
      <c r="A137" s="4">
        <v>46315.0</v>
      </c>
      <c r="B137" s="6">
        <v>387.865</v>
      </c>
      <c r="C137" s="6">
        <v>456.715</v>
      </c>
      <c r="D137" s="6">
        <v>513.22</v>
      </c>
      <c r="E137" s="10" t="str">
        <f>IFERROR(__xludf.DUMMYFUNCTION("IFERROR(INDEX(GOOGLEFINANCE(""MSFT"", ""close"", A137), 2, 2), """")"),"")</f>
        <v/>
      </c>
      <c r="F137" s="10" t="str">
        <f t="shared" si="1"/>
        <v/>
      </c>
      <c r="G137" s="10" t="str">
        <f t="shared" si="2"/>
        <v/>
      </c>
      <c r="H137" s="2" t="str">
        <f t="shared" si="3"/>
        <v/>
      </c>
    </row>
    <row r="138">
      <c r="A138" s="4">
        <v>46316.0</v>
      </c>
      <c r="B138" s="6">
        <v>387.613</v>
      </c>
      <c r="C138" s="6">
        <v>461.327</v>
      </c>
      <c r="D138" s="6">
        <v>506.589</v>
      </c>
      <c r="E138" s="10" t="str">
        <f>IFERROR(__xludf.DUMMYFUNCTION("IFERROR(INDEX(GOOGLEFINANCE(""MSFT"", ""close"", A138), 2, 2), """")"),"")</f>
        <v/>
      </c>
      <c r="F138" s="10" t="str">
        <f t="shared" si="1"/>
        <v/>
      </c>
      <c r="G138" s="10" t="str">
        <f t="shared" si="2"/>
        <v/>
      </c>
      <c r="H138" s="2" t="str">
        <f t="shared" si="3"/>
        <v/>
      </c>
    </row>
    <row r="139">
      <c r="A139" s="4">
        <v>46317.0</v>
      </c>
      <c r="B139" s="6">
        <v>382.412</v>
      </c>
      <c r="C139" s="6">
        <v>453.869</v>
      </c>
      <c r="D139" s="6">
        <v>493.833</v>
      </c>
      <c r="E139" s="10" t="str">
        <f>IFERROR(__xludf.DUMMYFUNCTION("IFERROR(INDEX(GOOGLEFINANCE(""MSFT"", ""close"", A139), 2, 2), """")"),"")</f>
        <v/>
      </c>
      <c r="F139" s="10" t="str">
        <f t="shared" si="1"/>
        <v/>
      </c>
      <c r="G139" s="10" t="str">
        <f t="shared" si="2"/>
        <v/>
      </c>
      <c r="H139" s="2" t="str">
        <f t="shared" si="3"/>
        <v/>
      </c>
    </row>
    <row r="140">
      <c r="A140" s="4">
        <v>46318.0</v>
      </c>
      <c r="B140" s="6">
        <v>247.003</v>
      </c>
      <c r="C140" s="6">
        <v>442.884</v>
      </c>
      <c r="D140" s="6">
        <v>492.078</v>
      </c>
      <c r="E140" s="10" t="str">
        <f>IFERROR(__xludf.DUMMYFUNCTION("IFERROR(INDEX(GOOGLEFINANCE(""MSFT"", ""close"", A140), 2, 2), """")"),"")</f>
        <v/>
      </c>
      <c r="F140" s="10" t="str">
        <f t="shared" si="1"/>
        <v/>
      </c>
      <c r="G140" s="10" t="str">
        <f t="shared" si="2"/>
        <v/>
      </c>
      <c r="H140" s="2" t="str">
        <f t="shared" si="3"/>
        <v/>
      </c>
    </row>
    <row r="141">
      <c r="A141" s="4">
        <v>46321.0</v>
      </c>
      <c r="B141" s="6">
        <v>371.255</v>
      </c>
      <c r="C141" s="6">
        <v>458.134</v>
      </c>
      <c r="D141" s="6">
        <v>514.078</v>
      </c>
      <c r="E141" s="10" t="str">
        <f>IFERROR(__xludf.DUMMYFUNCTION("IFERROR(INDEX(GOOGLEFINANCE(""MSFT"", ""close"", A141), 2, 2), """")"),"")</f>
        <v/>
      </c>
      <c r="F141" s="10" t="str">
        <f t="shared" si="1"/>
        <v/>
      </c>
      <c r="G141" s="10" t="str">
        <f t="shared" si="2"/>
        <v/>
      </c>
      <c r="H141" s="2" t="str">
        <f t="shared" si="3"/>
        <v/>
      </c>
    </row>
    <row r="142">
      <c r="A142" s="4">
        <v>46322.0</v>
      </c>
      <c r="B142" s="6">
        <v>386.357</v>
      </c>
      <c r="C142" s="6">
        <v>460.744</v>
      </c>
      <c r="D142" s="6">
        <v>502.976</v>
      </c>
      <c r="E142" s="10" t="str">
        <f>IFERROR(__xludf.DUMMYFUNCTION("IFERROR(INDEX(GOOGLEFINANCE(""MSFT"", ""close"", A142), 2, 2), """")"),"")</f>
        <v/>
      </c>
      <c r="F142" s="10" t="str">
        <f t="shared" si="1"/>
        <v/>
      </c>
      <c r="G142" s="10" t="str">
        <f t="shared" si="2"/>
        <v/>
      </c>
      <c r="H142" s="2" t="str">
        <f t="shared" si="3"/>
        <v/>
      </c>
    </row>
    <row r="143">
      <c r="A143" s="4">
        <v>46323.0</v>
      </c>
      <c r="B143" s="6">
        <v>382.111</v>
      </c>
      <c r="C143" s="6">
        <v>466.68</v>
      </c>
      <c r="D143" s="6">
        <v>514.796</v>
      </c>
      <c r="E143" s="10" t="str">
        <f>IFERROR(__xludf.DUMMYFUNCTION("IFERROR(INDEX(GOOGLEFINANCE(""MSFT"", ""close"", A143), 2, 2), """")"),"")</f>
        <v/>
      </c>
      <c r="F143" s="10" t="str">
        <f t="shared" si="1"/>
        <v/>
      </c>
      <c r="G143" s="10" t="str">
        <f t="shared" si="2"/>
        <v/>
      </c>
      <c r="H143" s="2" t="str">
        <f t="shared" si="3"/>
        <v/>
      </c>
    </row>
    <row r="144">
      <c r="A144" s="4">
        <v>46324.0</v>
      </c>
      <c r="B144" s="6">
        <v>363.397</v>
      </c>
      <c r="C144" s="6">
        <v>454.252</v>
      </c>
      <c r="D144" s="6">
        <v>494.305</v>
      </c>
      <c r="E144" s="10" t="str">
        <f>IFERROR(__xludf.DUMMYFUNCTION("IFERROR(INDEX(GOOGLEFINANCE(""MSFT"", ""close"", A144), 2, 2), """")"),"")</f>
        <v/>
      </c>
      <c r="F144" s="10" t="str">
        <f t="shared" si="1"/>
        <v/>
      </c>
      <c r="G144" s="10" t="str">
        <f t="shared" si="2"/>
        <v/>
      </c>
      <c r="H144" s="2" t="str">
        <f t="shared" si="3"/>
        <v/>
      </c>
    </row>
    <row r="145">
      <c r="A145" s="4">
        <v>46325.0</v>
      </c>
      <c r="B145" s="6">
        <v>247.82</v>
      </c>
      <c r="C145" s="6">
        <v>434.977</v>
      </c>
      <c r="D145" s="6">
        <v>481.657</v>
      </c>
      <c r="E145" s="10" t="str">
        <f>IFERROR(__xludf.DUMMYFUNCTION("IFERROR(INDEX(GOOGLEFINANCE(""MSFT"", ""close"", A145), 2, 2), """")"),"")</f>
        <v/>
      </c>
      <c r="F145" s="10" t="str">
        <f t="shared" si="1"/>
        <v/>
      </c>
      <c r="G145" s="10" t="str">
        <f t="shared" si="2"/>
        <v/>
      </c>
      <c r="H145" s="2" t="str">
        <f t="shared" si="3"/>
        <v/>
      </c>
    </row>
    <row r="146">
      <c r="A146" s="4">
        <v>46328.0</v>
      </c>
      <c r="B146" s="6">
        <v>362.307</v>
      </c>
      <c r="C146" s="6">
        <v>450.68</v>
      </c>
      <c r="D146" s="6">
        <v>499.839</v>
      </c>
      <c r="E146" s="10" t="str">
        <f>IFERROR(__xludf.DUMMYFUNCTION("IFERROR(INDEX(GOOGLEFINANCE(""MSFT"", ""close"", A146), 2, 2), """")"),"")</f>
        <v/>
      </c>
      <c r="F146" s="10" t="str">
        <f t="shared" si="1"/>
        <v/>
      </c>
      <c r="G146" s="10" t="str">
        <f t="shared" si="2"/>
        <v/>
      </c>
      <c r="H146" s="2" t="str">
        <f t="shared" si="3"/>
        <v/>
      </c>
    </row>
    <row r="147">
      <c r="A147" s="4">
        <v>46329.0</v>
      </c>
      <c r="B147" s="6">
        <v>391.212</v>
      </c>
      <c r="C147" s="6">
        <v>451.194</v>
      </c>
      <c r="D147" s="6">
        <v>501.126</v>
      </c>
      <c r="E147" s="10" t="str">
        <f>IFERROR(__xludf.DUMMYFUNCTION("IFERROR(INDEX(GOOGLEFINANCE(""MSFT"", ""close"", A147), 2, 2), """")"),"")</f>
        <v/>
      </c>
      <c r="F147" s="10" t="str">
        <f t="shared" si="1"/>
        <v/>
      </c>
      <c r="G147" s="10" t="str">
        <f t="shared" si="2"/>
        <v/>
      </c>
      <c r="H147" s="2" t="str">
        <f t="shared" si="3"/>
        <v/>
      </c>
    </row>
    <row r="148">
      <c r="A148" s="4">
        <v>46330.0</v>
      </c>
      <c r="B148" s="6">
        <v>385.673</v>
      </c>
      <c r="C148" s="6">
        <v>454.682</v>
      </c>
      <c r="D148" s="6">
        <v>506.712</v>
      </c>
      <c r="E148" s="10" t="str">
        <f>IFERROR(__xludf.DUMMYFUNCTION("IFERROR(INDEX(GOOGLEFINANCE(""MSFT"", ""close"", A148), 2, 2), """")"),"")</f>
        <v/>
      </c>
      <c r="F148" s="10" t="str">
        <f t="shared" si="1"/>
        <v/>
      </c>
      <c r="G148" s="10" t="str">
        <f t="shared" si="2"/>
        <v/>
      </c>
      <c r="H148" s="2" t="str">
        <f t="shared" si="3"/>
        <v/>
      </c>
    </row>
    <row r="149">
      <c r="A149" s="4">
        <v>46331.0</v>
      </c>
      <c r="B149" s="6">
        <v>401.317</v>
      </c>
      <c r="C149" s="6">
        <v>457.454</v>
      </c>
      <c r="D149" s="6">
        <v>503.837</v>
      </c>
      <c r="E149" s="10" t="str">
        <f>IFERROR(__xludf.DUMMYFUNCTION("IFERROR(INDEX(GOOGLEFINANCE(""MSFT"", ""close"", A149), 2, 2), """")"),"")</f>
        <v/>
      </c>
      <c r="F149" s="10" t="str">
        <f t="shared" si="1"/>
        <v/>
      </c>
      <c r="G149" s="10" t="str">
        <f t="shared" si="2"/>
        <v/>
      </c>
      <c r="H149" s="2" t="str">
        <f t="shared" si="3"/>
        <v/>
      </c>
    </row>
    <row r="150">
      <c r="A150" s="4">
        <v>46332.0</v>
      </c>
      <c r="B150" s="6">
        <v>248.617</v>
      </c>
      <c r="C150" s="6">
        <v>442.288</v>
      </c>
      <c r="D150" s="6">
        <v>483.013</v>
      </c>
      <c r="E150" s="10" t="str">
        <f>IFERROR(__xludf.DUMMYFUNCTION("IFERROR(INDEX(GOOGLEFINANCE(""MSFT"", ""close"", A150), 2, 2), """")"),"")</f>
        <v/>
      </c>
      <c r="F150" s="10" t="str">
        <f t="shared" si="1"/>
        <v/>
      </c>
      <c r="G150" s="10" t="str">
        <f t="shared" si="2"/>
        <v/>
      </c>
      <c r="H150" s="2" t="str">
        <f t="shared" si="3"/>
        <v/>
      </c>
    </row>
    <row r="151">
      <c r="A151" s="4">
        <v>46335.0</v>
      </c>
      <c r="B151" s="6">
        <v>356.344</v>
      </c>
      <c r="C151" s="6">
        <v>451.857</v>
      </c>
      <c r="D151" s="6">
        <v>499.413</v>
      </c>
      <c r="E151" s="10" t="str">
        <f>IFERROR(__xludf.DUMMYFUNCTION("IFERROR(INDEX(GOOGLEFINANCE(""MSFT"", ""close"", A151), 2, 2), """")"),"")</f>
        <v/>
      </c>
      <c r="F151" s="10" t="str">
        <f t="shared" si="1"/>
        <v/>
      </c>
      <c r="G151" s="10" t="str">
        <f t="shared" si="2"/>
        <v/>
      </c>
      <c r="H151" s="2" t="str">
        <f t="shared" si="3"/>
        <v/>
      </c>
    </row>
    <row r="152">
      <c r="A152" s="4">
        <v>46336.0</v>
      </c>
      <c r="B152" s="6">
        <v>444.706</v>
      </c>
      <c r="C152" s="6">
        <v>493.617</v>
      </c>
      <c r="D152" s="6">
        <v>517.808</v>
      </c>
      <c r="E152" s="10" t="str">
        <f>IFERROR(__xludf.DUMMYFUNCTION("IFERROR(INDEX(GOOGLEFINANCE(""MSFT"", ""close"", A152), 2, 2), """")"),"")</f>
        <v/>
      </c>
      <c r="F152" s="10" t="str">
        <f t="shared" si="1"/>
        <v/>
      </c>
      <c r="G152" s="10" t="str">
        <f t="shared" si="2"/>
        <v/>
      </c>
      <c r="H152" s="2" t="str">
        <f t="shared" si="3"/>
        <v/>
      </c>
    </row>
    <row r="153">
      <c r="A153" s="4">
        <v>46337.0</v>
      </c>
      <c r="B153" s="6">
        <v>436.147</v>
      </c>
      <c r="C153" s="6">
        <v>464.087</v>
      </c>
      <c r="D153" s="6">
        <v>483.712</v>
      </c>
      <c r="E153" s="10" t="str">
        <f>IFERROR(__xludf.DUMMYFUNCTION("IFERROR(INDEX(GOOGLEFINANCE(""MSFT"", ""close"", A153), 2, 2), """")"),"")</f>
        <v/>
      </c>
      <c r="F153" s="10" t="str">
        <f t="shared" si="1"/>
        <v/>
      </c>
      <c r="G153" s="10" t="str">
        <f t="shared" si="2"/>
        <v/>
      </c>
      <c r="H153" s="2" t="str">
        <f t="shared" si="3"/>
        <v/>
      </c>
    </row>
    <row r="154">
      <c r="A154" s="4">
        <v>46338.0</v>
      </c>
      <c r="B154" s="6">
        <v>397.837</v>
      </c>
      <c r="C154" s="6">
        <v>486.211</v>
      </c>
      <c r="D154" s="6">
        <v>505.242</v>
      </c>
      <c r="E154" s="10" t="str">
        <f>IFERROR(__xludf.DUMMYFUNCTION("IFERROR(INDEX(GOOGLEFINANCE(""MSFT"", ""close"", A154), 2, 2), """")"),"")</f>
        <v/>
      </c>
      <c r="F154" s="10" t="str">
        <f t="shared" si="1"/>
        <v/>
      </c>
      <c r="G154" s="10" t="str">
        <f t="shared" si="2"/>
        <v/>
      </c>
      <c r="H154" s="2" t="str">
        <f t="shared" si="3"/>
        <v/>
      </c>
    </row>
    <row r="155">
      <c r="A155" s="4">
        <v>46339.0</v>
      </c>
      <c r="B155" s="6">
        <v>254.537</v>
      </c>
      <c r="C155" s="6">
        <v>436.942</v>
      </c>
      <c r="D155" s="6">
        <v>482.121</v>
      </c>
      <c r="E155" s="10" t="str">
        <f>IFERROR(__xludf.DUMMYFUNCTION("IFERROR(INDEX(GOOGLEFINANCE(""MSFT"", ""close"", A155), 2, 2), """")"),"")</f>
        <v/>
      </c>
      <c r="F155" s="10" t="str">
        <f t="shared" si="1"/>
        <v/>
      </c>
      <c r="G155" s="10" t="str">
        <f t="shared" si="2"/>
        <v/>
      </c>
      <c r="H155" s="2" t="str">
        <f t="shared" si="3"/>
        <v/>
      </c>
    </row>
    <row r="156">
      <c r="A156" s="4">
        <v>46342.0</v>
      </c>
      <c r="B156" s="6">
        <v>350.953</v>
      </c>
      <c r="C156" s="6">
        <v>451.478</v>
      </c>
      <c r="D156" s="6">
        <v>490.739</v>
      </c>
      <c r="E156" s="10" t="str">
        <f>IFERROR(__xludf.DUMMYFUNCTION("IFERROR(INDEX(GOOGLEFINANCE(""MSFT"", ""close"", A156), 2, 2), """")"),"")</f>
        <v/>
      </c>
      <c r="F156" s="10" t="str">
        <f t="shared" si="1"/>
        <v/>
      </c>
      <c r="G156" s="10" t="str">
        <f t="shared" si="2"/>
        <v/>
      </c>
      <c r="H156" s="2" t="str">
        <f t="shared" si="3"/>
        <v/>
      </c>
    </row>
    <row r="157">
      <c r="A157" s="4">
        <v>46343.0</v>
      </c>
      <c r="B157" s="6">
        <v>391.284</v>
      </c>
      <c r="C157" s="6">
        <v>455.387</v>
      </c>
      <c r="D157" s="6">
        <v>500.833</v>
      </c>
      <c r="E157" s="10" t="str">
        <f>IFERROR(__xludf.DUMMYFUNCTION("IFERROR(INDEX(GOOGLEFINANCE(""MSFT"", ""close"", A157), 2, 2), """")"),"")</f>
        <v/>
      </c>
      <c r="F157" s="10" t="str">
        <f t="shared" si="1"/>
        <v/>
      </c>
      <c r="G157" s="10" t="str">
        <f t="shared" si="2"/>
        <v/>
      </c>
      <c r="H157" s="2" t="str">
        <f t="shared" si="3"/>
        <v/>
      </c>
    </row>
    <row r="158">
      <c r="A158" s="4">
        <v>46344.0</v>
      </c>
      <c r="B158" s="6">
        <v>381.822</v>
      </c>
      <c r="C158" s="6">
        <v>457.843</v>
      </c>
      <c r="D158" s="6">
        <v>504.727</v>
      </c>
      <c r="E158" s="10" t="str">
        <f>IFERROR(__xludf.DUMMYFUNCTION("IFERROR(INDEX(GOOGLEFINANCE(""MSFT"", ""close"", A158), 2, 2), """")"),"")</f>
        <v/>
      </c>
      <c r="F158" s="10" t="str">
        <f t="shared" si="1"/>
        <v/>
      </c>
      <c r="G158" s="10" t="str">
        <f t="shared" si="2"/>
        <v/>
      </c>
      <c r="H158" s="2" t="str">
        <f t="shared" si="3"/>
        <v/>
      </c>
    </row>
    <row r="159">
      <c r="A159" s="4">
        <v>46345.0</v>
      </c>
      <c r="B159" s="6">
        <v>393.287</v>
      </c>
      <c r="C159" s="6">
        <v>448.722</v>
      </c>
      <c r="D159" s="6">
        <v>499.661</v>
      </c>
      <c r="E159" s="10" t="str">
        <f>IFERROR(__xludf.DUMMYFUNCTION("IFERROR(INDEX(GOOGLEFINANCE(""MSFT"", ""close"", A159), 2, 2), """")"),"")</f>
        <v/>
      </c>
      <c r="F159" s="10" t="str">
        <f t="shared" si="1"/>
        <v/>
      </c>
      <c r="G159" s="10" t="str">
        <f t="shared" si="2"/>
        <v/>
      </c>
      <c r="H159" s="2" t="str">
        <f t="shared" si="3"/>
        <v/>
      </c>
    </row>
    <row r="160">
      <c r="A160" s="4">
        <v>46346.0</v>
      </c>
      <c r="B160" s="6">
        <v>252.377</v>
      </c>
      <c r="C160" s="6">
        <v>439.421</v>
      </c>
      <c r="D160" s="6">
        <v>492.866</v>
      </c>
      <c r="E160" s="10" t="str">
        <f>IFERROR(__xludf.DUMMYFUNCTION("IFERROR(INDEX(GOOGLEFINANCE(""MSFT"", ""close"", A160), 2, 2), """")"),"")</f>
        <v/>
      </c>
      <c r="F160" s="10" t="str">
        <f t="shared" si="1"/>
        <v/>
      </c>
      <c r="G160" s="10" t="str">
        <f t="shared" si="2"/>
        <v/>
      </c>
      <c r="H160" s="2" t="str">
        <f t="shared" si="3"/>
        <v/>
      </c>
    </row>
    <row r="161">
      <c r="A161" s="4">
        <v>46349.0</v>
      </c>
      <c r="B161" s="6">
        <v>346.792</v>
      </c>
      <c r="C161" s="6">
        <v>443.81</v>
      </c>
      <c r="D161" s="6">
        <v>494.359</v>
      </c>
      <c r="E161" s="10" t="str">
        <f>IFERROR(__xludf.DUMMYFUNCTION("IFERROR(INDEX(GOOGLEFINANCE(""MSFT"", ""close"", A161), 2, 2), """")"),"")</f>
        <v/>
      </c>
      <c r="F161" s="10" t="str">
        <f t="shared" si="1"/>
        <v/>
      </c>
      <c r="G161" s="10" t="str">
        <f t="shared" si="2"/>
        <v/>
      </c>
      <c r="H161" s="2" t="str">
        <f t="shared" si="3"/>
        <v/>
      </c>
    </row>
    <row r="162">
      <c r="A162" s="4">
        <v>46350.0</v>
      </c>
      <c r="B162" s="6">
        <v>370.226</v>
      </c>
      <c r="C162" s="6">
        <v>441.756</v>
      </c>
      <c r="D162" s="6">
        <v>491.706</v>
      </c>
      <c r="E162" s="10" t="str">
        <f>IFERROR(__xludf.DUMMYFUNCTION("IFERROR(INDEX(GOOGLEFINANCE(""MSFT"", ""close"", A162), 2, 2), """")"),"")</f>
        <v/>
      </c>
      <c r="F162" s="10" t="str">
        <f t="shared" si="1"/>
        <v/>
      </c>
      <c r="G162" s="10" t="str">
        <f t="shared" si="2"/>
        <v/>
      </c>
      <c r="H162" s="2" t="str">
        <f t="shared" si="3"/>
        <v/>
      </c>
    </row>
    <row r="163">
      <c r="A163" s="4">
        <v>46351.0</v>
      </c>
      <c r="B163" s="6">
        <v>410.116</v>
      </c>
      <c r="C163" s="6">
        <v>479.69</v>
      </c>
      <c r="D163" s="6">
        <v>499.869</v>
      </c>
      <c r="E163" s="10" t="str">
        <f>IFERROR(__xludf.DUMMYFUNCTION("IFERROR(INDEX(GOOGLEFINANCE(""MSFT"", ""close"", A163), 2, 2), """")"),"")</f>
        <v/>
      </c>
      <c r="F163" s="10" t="str">
        <f t="shared" si="1"/>
        <v/>
      </c>
      <c r="G163" s="10" t="str">
        <f t="shared" si="2"/>
        <v/>
      </c>
      <c r="H163" s="2" t="str">
        <f t="shared" si="3"/>
        <v/>
      </c>
    </row>
    <row r="164">
      <c r="A164" s="4">
        <v>46353.0</v>
      </c>
      <c r="B164" s="6">
        <v>361.834</v>
      </c>
      <c r="C164" s="6">
        <v>415.676</v>
      </c>
      <c r="D164" s="6">
        <v>477.14</v>
      </c>
      <c r="E164" s="10" t="str">
        <f>IFERROR(__xludf.DUMMYFUNCTION("IFERROR(INDEX(GOOGLEFINANCE(""MSFT"", ""close"", A164), 2, 2), """")"),"")</f>
        <v/>
      </c>
      <c r="F164" s="10" t="str">
        <f t="shared" si="1"/>
        <v/>
      </c>
      <c r="G164" s="10" t="str">
        <f t="shared" si="2"/>
        <v/>
      </c>
      <c r="H164" s="2" t="str">
        <f t="shared" si="3"/>
        <v/>
      </c>
    </row>
    <row r="165">
      <c r="A165" s="4">
        <v>46356.0</v>
      </c>
      <c r="B165" s="6">
        <v>362.533</v>
      </c>
      <c r="C165" s="6">
        <v>457.696</v>
      </c>
      <c r="D165" s="6">
        <v>511.214</v>
      </c>
      <c r="E165" s="10" t="str">
        <f>IFERROR(__xludf.DUMMYFUNCTION("IFERROR(INDEX(GOOGLEFINANCE(""MSFT"", ""close"", A165), 2, 2), """")"),"")</f>
        <v/>
      </c>
      <c r="F165" s="10" t="str">
        <f t="shared" si="1"/>
        <v/>
      </c>
      <c r="G165" s="10" t="str">
        <f t="shared" si="2"/>
        <v/>
      </c>
      <c r="H165" s="2" t="str">
        <f t="shared" si="3"/>
        <v/>
      </c>
    </row>
    <row r="166">
      <c r="A166" s="4">
        <v>46357.0</v>
      </c>
      <c r="B166" s="6">
        <v>404.455</v>
      </c>
      <c r="C166" s="6">
        <v>446.75</v>
      </c>
      <c r="D166" s="6">
        <v>494.602</v>
      </c>
      <c r="E166" s="10" t="str">
        <f>IFERROR(__xludf.DUMMYFUNCTION("IFERROR(INDEX(GOOGLEFINANCE(""MSFT"", ""close"", A166), 2, 2), """")"),"")</f>
        <v/>
      </c>
      <c r="F166" s="10" t="str">
        <f t="shared" si="1"/>
        <v/>
      </c>
      <c r="G166" s="10" t="str">
        <f t="shared" si="2"/>
        <v/>
      </c>
      <c r="H166" s="2" t="str">
        <f t="shared" si="3"/>
        <v/>
      </c>
    </row>
    <row r="167">
      <c r="A167" s="4">
        <v>46358.0</v>
      </c>
      <c r="B167" s="6">
        <v>377.43</v>
      </c>
      <c r="C167" s="6">
        <v>439.138</v>
      </c>
      <c r="D167" s="6">
        <v>489.611</v>
      </c>
      <c r="E167" s="10" t="str">
        <f>IFERROR(__xludf.DUMMYFUNCTION("IFERROR(INDEX(GOOGLEFINANCE(""MSFT"", ""close"", A167), 2, 2), """")"),"")</f>
        <v/>
      </c>
      <c r="F167" s="10" t="str">
        <f t="shared" si="1"/>
        <v/>
      </c>
      <c r="G167" s="10" t="str">
        <f t="shared" si="2"/>
        <v/>
      </c>
      <c r="H167" s="2" t="str">
        <f t="shared" si="3"/>
        <v/>
      </c>
    </row>
    <row r="168">
      <c r="A168" s="4">
        <v>46359.0</v>
      </c>
      <c r="B168" s="6">
        <v>360.705</v>
      </c>
      <c r="C168" s="6">
        <v>430.656</v>
      </c>
      <c r="D168" s="6">
        <v>482.16</v>
      </c>
      <c r="E168" s="10" t="str">
        <f>IFERROR(__xludf.DUMMYFUNCTION("IFERROR(INDEX(GOOGLEFINANCE(""MSFT"", ""close"", A168), 2, 2), """")"),"")</f>
        <v/>
      </c>
      <c r="F168" s="10" t="str">
        <f t="shared" si="1"/>
        <v/>
      </c>
      <c r="G168" s="10" t="str">
        <f t="shared" si="2"/>
        <v/>
      </c>
      <c r="H168" s="2" t="str">
        <f t="shared" si="3"/>
        <v/>
      </c>
    </row>
    <row r="169">
      <c r="A169" s="4">
        <v>46360.0</v>
      </c>
      <c r="B169" s="6">
        <v>250.033</v>
      </c>
      <c r="C169" s="6">
        <v>417.14</v>
      </c>
      <c r="D169" s="6">
        <v>463.02</v>
      </c>
      <c r="E169" s="10" t="str">
        <f>IFERROR(__xludf.DUMMYFUNCTION("IFERROR(INDEX(GOOGLEFINANCE(""MSFT"", ""close"", A169), 2, 2), """")"),"")</f>
        <v/>
      </c>
      <c r="F169" s="10" t="str">
        <f t="shared" si="1"/>
        <v/>
      </c>
      <c r="G169" s="10" t="str">
        <f t="shared" si="2"/>
        <v/>
      </c>
      <c r="H169" s="2" t="str">
        <f t="shared" si="3"/>
        <v/>
      </c>
    </row>
    <row r="170">
      <c r="A170" s="4">
        <v>46363.0</v>
      </c>
      <c r="B170" s="6">
        <v>359.36</v>
      </c>
      <c r="C170" s="6">
        <v>445.772</v>
      </c>
      <c r="D170" s="6">
        <v>495.807</v>
      </c>
      <c r="E170" s="10" t="str">
        <f>IFERROR(__xludf.DUMMYFUNCTION("IFERROR(INDEX(GOOGLEFINANCE(""MSFT"", ""close"", A170), 2, 2), """")"),"")</f>
        <v/>
      </c>
      <c r="F170" s="10" t="str">
        <f t="shared" si="1"/>
        <v/>
      </c>
      <c r="G170" s="10" t="str">
        <f t="shared" si="2"/>
        <v/>
      </c>
      <c r="H170" s="2" t="str">
        <f t="shared" si="3"/>
        <v/>
      </c>
    </row>
    <row r="171">
      <c r="A171" s="4">
        <v>46364.0</v>
      </c>
      <c r="B171" s="6">
        <v>378.311</v>
      </c>
      <c r="C171" s="6">
        <v>445.795</v>
      </c>
      <c r="D171" s="6">
        <v>500.306</v>
      </c>
      <c r="E171" s="10" t="str">
        <f>IFERROR(__xludf.DUMMYFUNCTION("IFERROR(INDEX(GOOGLEFINANCE(""MSFT"", ""close"", A171), 2, 2), """")"),"")</f>
        <v/>
      </c>
      <c r="F171" s="10" t="str">
        <f t="shared" si="1"/>
        <v/>
      </c>
      <c r="G171" s="10" t="str">
        <f t="shared" si="2"/>
        <v/>
      </c>
      <c r="H171" s="2" t="str">
        <f t="shared" si="3"/>
        <v/>
      </c>
    </row>
    <row r="172">
      <c r="A172" s="4">
        <v>46365.0</v>
      </c>
      <c r="B172" s="6">
        <v>386.499</v>
      </c>
      <c r="C172" s="6">
        <v>436.575</v>
      </c>
      <c r="D172" s="6">
        <v>490.508</v>
      </c>
      <c r="E172" s="10" t="str">
        <f>IFERROR(__xludf.DUMMYFUNCTION("IFERROR(INDEX(GOOGLEFINANCE(""MSFT"", ""close"", A172), 2, 2), """")"),"")</f>
        <v/>
      </c>
      <c r="F172" s="10" t="str">
        <f t="shared" si="1"/>
        <v/>
      </c>
      <c r="G172" s="10" t="str">
        <f t="shared" si="2"/>
        <v/>
      </c>
      <c r="H172" s="2" t="str">
        <f t="shared" si="3"/>
        <v/>
      </c>
    </row>
    <row r="173">
      <c r="A173" s="4">
        <v>46366.0</v>
      </c>
      <c r="B173" s="6">
        <v>377.342</v>
      </c>
      <c r="C173" s="6">
        <v>441.349</v>
      </c>
      <c r="D173" s="6">
        <v>473.451</v>
      </c>
      <c r="E173" s="10" t="str">
        <f>IFERROR(__xludf.DUMMYFUNCTION("IFERROR(INDEX(GOOGLEFINANCE(""MSFT"", ""close"", A173), 2, 2), """")"),"")</f>
        <v/>
      </c>
      <c r="F173" s="10" t="str">
        <f t="shared" si="1"/>
        <v/>
      </c>
      <c r="G173" s="10" t="str">
        <f t="shared" si="2"/>
        <v/>
      </c>
      <c r="H173" s="2" t="str">
        <f t="shared" si="3"/>
        <v/>
      </c>
    </row>
    <row r="174">
      <c r="A174" s="4">
        <v>46367.0</v>
      </c>
      <c r="B174" s="6">
        <v>255.946</v>
      </c>
      <c r="C174" s="6">
        <v>430.281</v>
      </c>
      <c r="D174" s="6">
        <v>478.532</v>
      </c>
      <c r="E174" s="10" t="str">
        <f>IFERROR(__xludf.DUMMYFUNCTION("IFERROR(INDEX(GOOGLEFINANCE(""MSFT"", ""close"", A174), 2, 2), """")"),"")</f>
        <v/>
      </c>
      <c r="F174" s="10" t="str">
        <f t="shared" si="1"/>
        <v/>
      </c>
      <c r="G174" s="10" t="str">
        <f t="shared" si="2"/>
        <v/>
      </c>
      <c r="H174" s="2" t="str">
        <f t="shared" si="3"/>
        <v/>
      </c>
    </row>
    <row r="175">
      <c r="A175" s="4">
        <v>46370.0</v>
      </c>
      <c r="B175" s="6">
        <v>352.68</v>
      </c>
      <c r="C175" s="6">
        <v>436.274</v>
      </c>
      <c r="D175" s="6">
        <v>490.713</v>
      </c>
      <c r="E175" s="10" t="str">
        <f>IFERROR(__xludf.DUMMYFUNCTION("IFERROR(INDEX(GOOGLEFINANCE(""MSFT"", ""close"", A175), 2, 2), """")"),"")</f>
        <v/>
      </c>
      <c r="F175" s="10" t="str">
        <f t="shared" si="1"/>
        <v/>
      </c>
      <c r="G175" s="10" t="str">
        <f t="shared" si="2"/>
        <v/>
      </c>
      <c r="H175" s="2" t="str">
        <f t="shared" si="3"/>
        <v/>
      </c>
    </row>
    <row r="176">
      <c r="A176" s="4">
        <v>46371.0</v>
      </c>
      <c r="B176" s="6">
        <v>379.005</v>
      </c>
      <c r="C176" s="6">
        <v>439.371</v>
      </c>
      <c r="D176" s="6">
        <v>493.272</v>
      </c>
      <c r="E176" s="10" t="str">
        <f>IFERROR(__xludf.DUMMYFUNCTION("IFERROR(INDEX(GOOGLEFINANCE(""MSFT"", ""close"", A176), 2, 2), """")"),"")</f>
        <v/>
      </c>
      <c r="F176" s="10" t="str">
        <f t="shared" si="1"/>
        <v/>
      </c>
      <c r="G176" s="10" t="str">
        <f t="shared" si="2"/>
        <v/>
      </c>
      <c r="H176" s="2" t="str">
        <f t="shared" si="3"/>
        <v/>
      </c>
    </row>
    <row r="177">
      <c r="A177" s="4">
        <v>46372.0</v>
      </c>
      <c r="B177" s="6">
        <v>378.414</v>
      </c>
      <c r="C177" s="6">
        <v>440.835</v>
      </c>
      <c r="D177" s="6">
        <v>489.683</v>
      </c>
      <c r="E177" s="10" t="str">
        <f>IFERROR(__xludf.DUMMYFUNCTION("IFERROR(INDEX(GOOGLEFINANCE(""MSFT"", ""close"", A177), 2, 2), """")"),"")</f>
        <v/>
      </c>
      <c r="F177" s="10" t="str">
        <f t="shared" si="1"/>
        <v/>
      </c>
      <c r="G177" s="10" t="str">
        <f t="shared" si="2"/>
        <v/>
      </c>
      <c r="H177" s="2" t="str">
        <f t="shared" si="3"/>
        <v/>
      </c>
    </row>
    <row r="178">
      <c r="A178" s="4">
        <v>46373.0</v>
      </c>
      <c r="B178" s="6">
        <v>349.913</v>
      </c>
      <c r="C178" s="6">
        <v>437.247</v>
      </c>
      <c r="D178" s="6">
        <v>483.971</v>
      </c>
      <c r="E178" s="10" t="str">
        <f>IFERROR(__xludf.DUMMYFUNCTION("IFERROR(INDEX(GOOGLEFINANCE(""MSFT"", ""close"", A178), 2, 2), """")"),"")</f>
        <v/>
      </c>
      <c r="F178" s="10" t="str">
        <f t="shared" si="1"/>
        <v/>
      </c>
      <c r="G178" s="10" t="str">
        <f t="shared" si="2"/>
        <v/>
      </c>
      <c r="H178" s="2" t="str">
        <f t="shared" si="3"/>
        <v/>
      </c>
    </row>
    <row r="179">
      <c r="A179" s="4">
        <v>46374.0</v>
      </c>
      <c r="B179" s="6">
        <v>260.135</v>
      </c>
      <c r="C179" s="6">
        <v>432.401</v>
      </c>
      <c r="D179" s="6">
        <v>476.02</v>
      </c>
      <c r="E179" s="10" t="str">
        <f>IFERROR(__xludf.DUMMYFUNCTION("IFERROR(INDEX(GOOGLEFINANCE(""MSFT"", ""close"", A179), 2, 2), """")"),"")</f>
        <v/>
      </c>
      <c r="F179" s="10" t="str">
        <f t="shared" si="1"/>
        <v/>
      </c>
      <c r="G179" s="10" t="str">
        <f t="shared" si="2"/>
        <v/>
      </c>
      <c r="H179" s="2" t="str">
        <f t="shared" si="3"/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15</v>
      </c>
      <c r="B1" s="11" t="s">
        <v>16</v>
      </c>
    </row>
    <row r="2">
      <c r="A2" s="12" t="s">
        <v>17</v>
      </c>
      <c r="B2" s="13">
        <v>46023.0</v>
      </c>
    </row>
    <row r="3">
      <c r="A3" s="12" t="s">
        <v>18</v>
      </c>
      <c r="B3" s="13">
        <v>46041.0</v>
      </c>
    </row>
    <row r="4">
      <c r="A4" s="12" t="s">
        <v>19</v>
      </c>
      <c r="B4" s="13">
        <v>46069.0</v>
      </c>
    </row>
    <row r="5">
      <c r="A5" s="12" t="s">
        <v>20</v>
      </c>
      <c r="B5" s="13">
        <v>46115.0</v>
      </c>
    </row>
    <row r="6">
      <c r="A6" s="12" t="s">
        <v>21</v>
      </c>
      <c r="B6" s="13">
        <v>46167.0</v>
      </c>
    </row>
    <row r="7">
      <c r="A7" s="12" t="s">
        <v>22</v>
      </c>
      <c r="B7" s="13">
        <v>46192.0</v>
      </c>
    </row>
    <row r="8">
      <c r="A8" s="12" t="s">
        <v>23</v>
      </c>
      <c r="B8" s="13">
        <v>46206.0</v>
      </c>
    </row>
    <row r="9">
      <c r="A9" s="12" t="s">
        <v>24</v>
      </c>
      <c r="B9" s="13">
        <v>46272.0</v>
      </c>
    </row>
    <row r="10">
      <c r="A10" s="12" t="s">
        <v>25</v>
      </c>
      <c r="B10" s="13">
        <v>46352.0</v>
      </c>
    </row>
    <row r="11">
      <c r="A11" s="12" t="s">
        <v>26</v>
      </c>
      <c r="B11" s="13">
        <v>46381.0</v>
      </c>
    </row>
  </sheetData>
  <drawing r:id="rId1"/>
</worksheet>
</file>